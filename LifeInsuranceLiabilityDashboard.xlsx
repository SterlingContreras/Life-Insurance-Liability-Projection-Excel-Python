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life-insurance-liability-projection\"/>
    </mc:Choice>
  </mc:AlternateContent>
  <xr:revisionPtr revIDLastSave="0" documentId="13_ncr:1_{985B9931-665C-4584-A27F-2724220C8719}" xr6:coauthVersionLast="47" xr6:coauthVersionMax="47" xr10:uidLastSave="{00000000-0000-0000-0000-000000000000}"/>
  <bookViews>
    <workbookView xWindow="-110" yWindow="-110" windowWidth="19420" windowHeight="10420" firstSheet="2" activeTab="4" xr2:uid="{E03D03CE-18CF-4C11-882D-F0121E0958AC}"/>
  </bookViews>
  <sheets>
    <sheet name="Assumptions" sheetId="1" r:id="rId1"/>
    <sheet name="Mortality Table" sheetId="2" r:id="rId2"/>
    <sheet name="Projection" sheetId="3" r:id="rId3"/>
    <sheet name="Sensitivity" sheetId="4" r:id="rId4"/>
    <sheet name="Dashboard" sheetId="5" r:id="rId5"/>
  </sheets>
  <definedNames>
    <definedName name="DeathBenefit">Assumptions!$B$4</definedName>
    <definedName name="InterestRate">Assumptions!$B$5</definedName>
    <definedName name="IssueAge">Assumptions!$B$2</definedName>
    <definedName name="Policies">Assumptions!$B$3</definedName>
    <definedName name="Term">Assumptions!$B$6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" i="5"/>
  <c r="B2" i="5"/>
  <c r="B22" i="3"/>
  <c r="C22" i="3" s="1"/>
  <c r="B21" i="3"/>
  <c r="C21" i="3" s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7" i="3"/>
  <c r="C7" i="3" s="1"/>
  <c r="B6" i="3"/>
  <c r="C6" i="3" s="1"/>
  <c r="B5" i="3"/>
  <c r="C5" i="3" s="1"/>
  <c r="B4" i="3"/>
  <c r="C4" i="3" s="1"/>
  <c r="B3" i="3"/>
  <c r="C3" i="3" s="1"/>
  <c r="D2" i="3"/>
  <c r="B2" i="3"/>
  <c r="C2" i="3" s="1"/>
  <c r="D3" i="3" s="1"/>
  <c r="E3" i="3" l="1"/>
  <c r="F3" i="3" s="1"/>
  <c r="G3" i="3" s="1"/>
  <c r="D4" i="3"/>
  <c r="E2" i="3"/>
  <c r="F2" i="3" s="1"/>
  <c r="G2" i="3" s="1"/>
  <c r="D5" i="3" l="1"/>
  <c r="E4" i="3"/>
  <c r="F4" i="3" s="1"/>
  <c r="G4" i="3" s="1"/>
  <c r="D6" i="3" l="1"/>
  <c r="E5" i="3"/>
  <c r="F5" i="3" s="1"/>
  <c r="G5" i="3" s="1"/>
  <c r="D7" i="3" l="1"/>
  <c r="E6" i="3"/>
  <c r="F6" i="3" s="1"/>
  <c r="G6" i="3" s="1"/>
  <c r="D8" i="3" l="1"/>
  <c r="E7" i="3"/>
  <c r="F7" i="3" s="1"/>
  <c r="G7" i="3" s="1"/>
  <c r="D9" i="3" l="1"/>
  <c r="E8" i="3"/>
  <c r="F8" i="3" s="1"/>
  <c r="G8" i="3" s="1"/>
  <c r="D10" i="3" l="1"/>
  <c r="E9" i="3"/>
  <c r="F9" i="3" s="1"/>
  <c r="G9" i="3" s="1"/>
  <c r="D11" i="3" l="1"/>
  <c r="E10" i="3"/>
  <c r="F10" i="3" s="1"/>
  <c r="G10" i="3" s="1"/>
  <c r="D12" i="3" l="1"/>
  <c r="E11" i="3"/>
  <c r="F11" i="3" s="1"/>
  <c r="G11" i="3" s="1"/>
  <c r="D13" i="3" l="1"/>
  <c r="E12" i="3"/>
  <c r="F12" i="3" s="1"/>
  <c r="G12" i="3" s="1"/>
  <c r="D14" i="3" l="1"/>
  <c r="E13" i="3"/>
  <c r="F13" i="3" s="1"/>
  <c r="G13" i="3" s="1"/>
  <c r="D15" i="3" l="1"/>
  <c r="E14" i="3"/>
  <c r="F14" i="3" s="1"/>
  <c r="G14" i="3" s="1"/>
  <c r="D16" i="3" l="1"/>
  <c r="E15" i="3"/>
  <c r="F15" i="3" s="1"/>
  <c r="G15" i="3" s="1"/>
  <c r="D17" i="3" l="1"/>
  <c r="E16" i="3"/>
  <c r="F16" i="3" s="1"/>
  <c r="G16" i="3" s="1"/>
  <c r="D18" i="3" l="1"/>
  <c r="E17" i="3"/>
  <c r="F17" i="3" s="1"/>
  <c r="G17" i="3" s="1"/>
  <c r="D19" i="3" l="1"/>
  <c r="E18" i="3"/>
  <c r="F18" i="3" s="1"/>
  <c r="G18" i="3" s="1"/>
  <c r="E19" i="3" l="1"/>
  <c r="F19" i="3" s="1"/>
  <c r="G19" i="3" s="1"/>
  <c r="D20" i="3"/>
  <c r="D21" i="3" l="1"/>
  <c r="E20" i="3"/>
  <c r="F20" i="3" s="1"/>
  <c r="G20" i="3" s="1"/>
  <c r="E21" i="3" l="1"/>
  <c r="F21" i="3" s="1"/>
  <c r="G21" i="3" s="1"/>
  <c r="D22" i="3"/>
  <c r="E22" i="3" s="1"/>
  <c r="F22" i="3" s="1"/>
  <c r="G22" i="3" s="1"/>
</calcChain>
</file>

<file path=xl/sharedStrings.xml><?xml version="1.0" encoding="utf-8"?>
<sst xmlns="http://schemas.openxmlformats.org/spreadsheetml/2006/main" count="29" uniqueCount="24">
  <si>
    <t>A</t>
  </si>
  <si>
    <t>B</t>
  </si>
  <si>
    <t>Issue Age</t>
  </si>
  <si>
    <t>Policies</t>
  </si>
  <si>
    <t>Death Benefit</t>
  </si>
  <si>
    <t>Interest Rate</t>
  </si>
  <si>
    <t>Term</t>
  </si>
  <si>
    <t>Age</t>
  </si>
  <si>
    <t>Male_qx</t>
  </si>
  <si>
    <t>Male_lx</t>
  </si>
  <si>
    <t>Male_ex</t>
  </si>
  <si>
    <t>Female_qx</t>
  </si>
  <si>
    <t>Female_lx</t>
  </si>
  <si>
    <t>Female_ex</t>
  </si>
  <si>
    <t>Year</t>
  </si>
  <si>
    <t>qx</t>
  </si>
  <si>
    <t>Lives</t>
  </si>
  <si>
    <t>Deaths</t>
  </si>
  <si>
    <t>Benefits</t>
  </si>
  <si>
    <t>PV</t>
  </si>
  <si>
    <t>Liability</t>
  </si>
  <si>
    <t>Metric</t>
  </si>
  <si>
    <t>Value</t>
  </si>
  <si>
    <t>PV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</si>
</sst>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3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6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Survival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Projection!$D$1</c:f>
              <c:strCache>
                <c:ptCount val="1"/>
                <c:pt idx="0">
                  <c:v>Lives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Projection!$B$2:$B$22</c:f>
              <c:numCache>
                <c:formatCode>General</c:formatCode>
                <c:ptCount val="21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</c:numCache>
            </c:numRef>
          </c:xVal>
          <c:yVal>
            <c:numRef>
              <c:f>Projection!$D$2:$D$22</c:f>
              <c:numCache>
                <c:formatCode>General</c:formatCode>
                <c:ptCount val="21"/>
                <c:pt idx="0">
                  <c:v>1000</c:v>
                </c:pt>
                <c:pt idx="1">
                  <c:v>996.64699999999993</c:v>
                </c:pt>
                <c:pt idx="2">
                  <c:v>993.15973214699989</c:v>
                </c:pt>
                <c:pt idx="3">
                  <c:v>989.54264440252052</c:v>
                </c:pt>
                <c:pt idx="4">
                  <c:v>985.77149738470246</c:v>
                </c:pt>
                <c:pt idx="5">
                  <c:v>981.83235448115317</c:v>
                </c:pt>
                <c:pt idx="6">
                  <c:v>977.73320440119437</c:v>
                </c:pt>
                <c:pt idx="7">
                  <c:v>973.442911100282</c:v>
                </c:pt>
                <c:pt idx="8">
                  <c:v>968.90082647708812</c:v>
                </c:pt>
                <c:pt idx="9">
                  <c:v>964.08248266701753</c:v>
                </c:pt>
                <c:pt idx="10">
                  <c:v>958.96802509646898</c:v>
                </c:pt>
                <c:pt idx="11">
                  <c:v>953.53451226627249</c:v>
                </c:pt>
                <c:pt idx="12">
                  <c:v>947.74751131132848</c:v>
                </c:pt>
                <c:pt idx="13">
                  <c:v>941.55019033486371</c:v>
                </c:pt>
                <c:pt idx="14">
                  <c:v>934.89060583862522</c:v>
                </c:pt>
                <c:pt idx="15">
                  <c:v>927.71532043881382</c:v>
                </c:pt>
                <c:pt idx="16">
                  <c:v>919.97075294379056</c:v>
                </c:pt>
                <c:pt idx="17">
                  <c:v>911.64409765889627</c:v>
                </c:pt>
                <c:pt idx="18">
                  <c:v>902.68992933169056</c:v>
                </c:pt>
                <c:pt idx="19">
                  <c:v>893.0591304756507</c:v>
                </c:pt>
                <c:pt idx="20">
                  <c:v>882.74608363691789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64-40BF-B86C-C8DA63A58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116863"/>
        <c:axId val="1564114943"/>
      </c:scatterChart>
      <c:valAx>
        <c:axId val="156411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114943"/>
        <c:crosses val="autoZero"/>
        <c:crossBetween val="midCat"/>
      </c:valAx>
      <c:valAx>
        <c:axId val="156411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11686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Deaths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097905214678351E-2"/>
          <c:y val="0.18991643454039001"/>
          <c:w val="0.87569454761551035"/>
          <c:h val="0.66413221327835414"/>
        </c:manualLayout>
      </c:layout>
      <c:scatterChart>
        <c:scatterStyle val="lineMarker"/>
        <c:varyColors val="0"/>
        <c:ser>
          <c:idx val="0"/>
          <c:order val="0"/>
          <c:tx>
            <c:strRef>
              <c:f>Projection!$E$1</c:f>
              <c:strCache>
                <c:ptCount val="1"/>
                <c:pt idx="0">
                  <c:v>Deaths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Projection!$B$2:$B$22</c:f>
              <c:numCache>
                <c:formatCode>General</c:formatCode>
                <c:ptCount val="21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</c:numCache>
            </c:numRef>
          </c:xVal>
          <c:yVal>
            <c:numRef>
              <c:f>Projection!$E$2:$E$22</c:f>
              <c:numCache>
                <c:formatCode>General</c:formatCode>
                <c:ptCount val="21"/>
                <c:pt idx="0">
                  <c:v>3.3530000000000002</c:v>
                </c:pt>
                <c:pt idx="1">
                  <c:v>3.4872678529999996</c:v>
                </c:pt>
                <c:pt idx="2">
                  <c:v>3.6170877444793734</c:v>
                </c:pt>
                <c:pt idx="3">
                  <c:v>3.7711470178180058</c:v>
                </c:pt>
                <c:pt idx="4">
                  <c:v>3.9391429035492713</c:v>
                </c:pt>
                <c:pt idx="5">
                  <c:v>4.0991500799588145</c:v>
                </c:pt>
                <c:pt idx="6">
                  <c:v>4.2902933009124409</c:v>
                </c:pt>
                <c:pt idx="7">
                  <c:v>4.542084623193916</c:v>
                </c:pt>
                <c:pt idx="8">
                  <c:v>4.8183438100705596</c:v>
                </c:pt>
                <c:pt idx="9">
                  <c:v>5.1144575705485282</c:v>
                </c:pt>
                <c:pt idx="10">
                  <c:v>5.4335128301965936</c:v>
                </c:pt>
                <c:pt idx="11">
                  <c:v>5.7870009549440073</c:v>
                </c:pt>
                <c:pt idx="12">
                  <c:v>6.197320976464777</c:v>
                </c:pt>
                <c:pt idx="13">
                  <c:v>6.6595844962384909</c:v>
                </c:pt>
                <c:pt idx="14">
                  <c:v>7.1752853998114485</c:v>
                </c:pt>
                <c:pt idx="15">
                  <c:v>7.7445674950232171</c:v>
                </c:pt>
                <c:pt idx="16">
                  <c:v>8.3266552848942492</c:v>
                </c:pt>
                <c:pt idx="17">
                  <c:v>8.9541683272056787</c:v>
                </c:pt>
                <c:pt idx="18">
                  <c:v>9.6307988560398066</c:v>
                </c:pt>
                <c:pt idx="19">
                  <c:v>10.313046838732813</c:v>
                </c:pt>
                <c:pt idx="20">
                  <c:v>10.997250709948723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B-4ECB-8159-E7118CB73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443215"/>
        <c:axId val="1713442735"/>
      </c:scatterChart>
      <c:valAx>
        <c:axId val="171344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442735"/>
        <c:crosses val="autoZero"/>
        <c:crossBetween val="midCat"/>
      </c:valAx>
      <c:valAx>
        <c:axId val="171344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443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Liability Sensitivity to Interest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Sensitivity!$B$1</c:f>
              <c:strCache>
                <c:ptCount val="1"/>
                <c:pt idx="0">
                  <c:v>Liability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Sensitivity!$A$2:$A$5</c:f>
              <c:numCache>
                <c:formatCode>0%</c:formatCode>
                <c:ptCount val="4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</c:numCache>
            </c:numRef>
          </c:xVal>
          <c:yVal>
            <c:numRef>
              <c:f>Sensitivity!$B$2:$B$5</c:f>
              <c:numCache>
                <c:formatCode>General</c:formatCode>
                <c:ptCount val="4"/>
                <c:pt idx="0">
                  <c:v>8742321</c:v>
                </c:pt>
                <c:pt idx="1">
                  <c:v>8460942</c:v>
                </c:pt>
                <c:pt idx="2">
                  <c:v>8193114</c:v>
                </c:pt>
                <c:pt idx="3">
                  <c:v>7938552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C-4298-A10A-7139FA7DF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443695"/>
        <c:axId val="1712951631"/>
      </c:scatterChart>
      <c:valAx>
        <c:axId val="171344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951631"/>
        <c:crosses val="autoZero"/>
        <c:crossBetween val="midCat"/>
      </c:valAx>
      <c:valAx>
        <c:axId val="17129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4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1</xdr:row>
      <xdr:rowOff>12700</xdr:rowOff>
    </xdr:from>
    <xdr:to>
      <xdr:col>16</xdr:col>
      <xdr:colOff>107950</xdr:colOff>
      <xdr:row>11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CD9D5F-3211-4309-A8EB-524AA4E3E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6350</xdr:colOff>
      <xdr:row>1</xdr:row>
      <xdr:rowOff>6350</xdr:rowOff>
    </xdr:from>
    <xdr:to>
      <xdr:col>9</xdr:col>
      <xdr:colOff>387350</xdr:colOff>
      <xdr:row>11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023C7E-DDF0-46B9-A0D2-6D32285F0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9</xdr:col>
      <xdr:colOff>400050</xdr:colOff>
      <xdr:row>24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5F56D9-95D5-42C0-9214-D02F92DDF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6D7B-C169-4E74-81D7-B6527C48B6D9}">
  <dimension ref="A1:B6"/>
  <sheetViews>
    <sheetView workbookViewId="0">
      <selection activeCell="D3" sqref="D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40</v>
      </c>
    </row>
    <row r="3" spans="1:2" x14ac:dyDescent="0.35">
      <c r="A3" s="2" t="s">
        <v>3</v>
      </c>
      <c r="B3" s="2">
        <v>1000</v>
      </c>
    </row>
    <row r="4" spans="1:2" ht="29" x14ac:dyDescent="0.35">
      <c r="A4" s="2" t="s">
        <v>4</v>
      </c>
      <c r="B4" s="2">
        <v>100000</v>
      </c>
    </row>
    <row r="5" spans="1:2" ht="29" x14ac:dyDescent="0.35">
      <c r="A5" s="2" t="s">
        <v>5</v>
      </c>
      <c r="B5" s="3">
        <v>0.03</v>
      </c>
    </row>
    <row r="6" spans="1:2" x14ac:dyDescent="0.35">
      <c r="A6" s="2" t="s">
        <v>6</v>
      </c>
      <c r="B6" s="2">
        <v>20</v>
      </c>
    </row>
  </sheetData>
  <dataValidations count="2">
    <dataValidation type="whole" allowBlank="1" showInputMessage="1" showErrorMessage="1" sqref="B2" xr:uid="{C95923D2-7E4F-496D-A021-B0B6CE559A27}">
      <formula1>30</formula1>
      <formula2>70</formula2>
    </dataValidation>
    <dataValidation type="decimal" allowBlank="1" showInputMessage="1" showErrorMessage="1" sqref="B5" xr:uid="{E4C06E52-C371-4A35-BDE5-F9472062146A}">
      <formula1>0.01</formula1>
      <formula2>0.1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2327-7443-4909-9EA9-04AAF2939166}">
  <dimension ref="A1:G121"/>
  <sheetViews>
    <sheetView workbookViewId="0">
      <selection activeCell="G1" sqref="G1"/>
    </sheetView>
  </sheetViews>
  <sheetFormatPr defaultRowHeight="14.5" x14ac:dyDescent="0.35"/>
  <cols>
    <col min="1" max="1" width="3.81640625" bestFit="1" customWidth="1"/>
    <col min="2" max="2" width="11.26953125" bestFit="1" customWidth="1"/>
    <col min="4" max="4" width="10.08984375" bestFit="1" customWidth="1"/>
    <col min="5" max="5" width="11.26953125" bestFit="1" customWidth="1"/>
    <col min="6" max="6" width="9.81640625" bestFit="1" customWidth="1"/>
    <col min="7" max="7" width="10.08984375" bestFit="1" customWidth="1"/>
  </cols>
  <sheetData>
    <row r="1" spans="1:7" ht="29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5">
      <c r="A2">
        <v>0</v>
      </c>
      <c r="B2">
        <v>6.0639999999999999E-3</v>
      </c>
      <c r="C2" s="4">
        <v>100000</v>
      </c>
      <c r="D2">
        <v>74.739999999999995</v>
      </c>
      <c r="E2">
        <v>5.1190000000000003E-3</v>
      </c>
      <c r="F2" s="4">
        <v>100000</v>
      </c>
      <c r="G2">
        <v>80.180000000000007</v>
      </c>
    </row>
    <row r="3" spans="1:7" x14ac:dyDescent="0.35">
      <c r="A3">
        <v>1</v>
      </c>
      <c r="B3">
        <v>4.9100000000000001E-4</v>
      </c>
      <c r="C3" s="4">
        <v>99394</v>
      </c>
      <c r="D3">
        <v>74.2</v>
      </c>
      <c r="E3">
        <v>3.9800000000000002E-4</v>
      </c>
      <c r="F3" s="4">
        <v>99488</v>
      </c>
      <c r="G3">
        <v>79.599999999999994</v>
      </c>
    </row>
    <row r="4" spans="1:7" x14ac:dyDescent="0.35">
      <c r="A4">
        <v>2</v>
      </c>
      <c r="B4">
        <v>3.0899999999999998E-4</v>
      </c>
      <c r="C4" s="4">
        <v>99345</v>
      </c>
      <c r="D4">
        <v>73.23</v>
      </c>
      <c r="E4">
        <v>2.4000000000000001E-4</v>
      </c>
      <c r="F4" s="4">
        <v>99449</v>
      </c>
      <c r="G4">
        <v>78.63</v>
      </c>
    </row>
    <row r="5" spans="1:7" x14ac:dyDescent="0.35">
      <c r="A5">
        <v>3</v>
      </c>
      <c r="B5">
        <v>2.4800000000000001E-4</v>
      </c>
      <c r="C5" s="4">
        <v>99314</v>
      </c>
      <c r="D5">
        <v>72.25</v>
      </c>
      <c r="E5">
        <v>1.9799999999999999E-4</v>
      </c>
      <c r="F5" s="4">
        <v>99425</v>
      </c>
      <c r="G5">
        <v>77.650000000000006</v>
      </c>
    </row>
    <row r="6" spans="1:7" x14ac:dyDescent="0.35">
      <c r="A6">
        <v>4</v>
      </c>
      <c r="B6">
        <v>1.9900000000000001E-4</v>
      </c>
      <c r="C6" s="4">
        <v>99290</v>
      </c>
      <c r="D6">
        <v>71.27</v>
      </c>
      <c r="E6">
        <v>1.6000000000000001E-4</v>
      </c>
      <c r="F6" s="4">
        <v>99405</v>
      </c>
      <c r="G6">
        <v>76.66</v>
      </c>
    </row>
    <row r="7" spans="1:7" x14ac:dyDescent="0.35">
      <c r="A7">
        <v>5</v>
      </c>
      <c r="B7">
        <v>1.6699999999999999E-4</v>
      </c>
      <c r="C7" s="4">
        <v>99270</v>
      </c>
      <c r="D7">
        <v>70.290000000000006</v>
      </c>
      <c r="E7">
        <v>1.34E-4</v>
      </c>
      <c r="F7" s="4">
        <v>99389</v>
      </c>
      <c r="G7">
        <v>75.67</v>
      </c>
    </row>
    <row r="8" spans="1:7" x14ac:dyDescent="0.35">
      <c r="A8">
        <v>6</v>
      </c>
      <c r="B8">
        <v>1.4300000000000001E-4</v>
      </c>
      <c r="C8" s="4">
        <v>99253</v>
      </c>
      <c r="D8">
        <v>69.3</v>
      </c>
      <c r="E8">
        <v>1.18E-4</v>
      </c>
      <c r="F8" s="4">
        <v>99376</v>
      </c>
      <c r="G8">
        <v>74.680000000000007</v>
      </c>
    </row>
    <row r="9" spans="1:7" x14ac:dyDescent="0.35">
      <c r="A9">
        <v>7</v>
      </c>
      <c r="B9">
        <v>1.26E-4</v>
      </c>
      <c r="C9" s="4">
        <v>99239</v>
      </c>
      <c r="D9">
        <v>68.31</v>
      </c>
      <c r="E9">
        <v>1.0900000000000001E-4</v>
      </c>
      <c r="F9" s="4">
        <v>99364</v>
      </c>
      <c r="G9">
        <v>73.69</v>
      </c>
    </row>
    <row r="10" spans="1:7" x14ac:dyDescent="0.35">
      <c r="A10">
        <v>8</v>
      </c>
      <c r="B10">
        <v>1.21E-4</v>
      </c>
      <c r="C10" s="4">
        <v>99226</v>
      </c>
      <c r="D10">
        <v>67.319999999999993</v>
      </c>
      <c r="E10">
        <v>1.06E-4</v>
      </c>
      <c r="F10" s="4">
        <v>99353</v>
      </c>
      <c r="G10">
        <v>72.7</v>
      </c>
    </row>
    <row r="11" spans="1:7" x14ac:dyDescent="0.35">
      <c r="A11">
        <v>9</v>
      </c>
      <c r="B11">
        <v>1.21E-4</v>
      </c>
      <c r="C11" s="4">
        <v>99214</v>
      </c>
      <c r="D11">
        <v>66.319999999999993</v>
      </c>
      <c r="E11">
        <v>1.06E-4</v>
      </c>
      <c r="F11" s="4">
        <v>99343</v>
      </c>
      <c r="G11">
        <v>71.709999999999994</v>
      </c>
    </row>
    <row r="12" spans="1:7" x14ac:dyDescent="0.35">
      <c r="A12">
        <v>10</v>
      </c>
      <c r="B12">
        <v>1.27E-4</v>
      </c>
      <c r="C12" s="4">
        <v>99202</v>
      </c>
      <c r="D12">
        <v>65.33</v>
      </c>
      <c r="E12">
        <v>1.11E-4</v>
      </c>
      <c r="F12" s="4">
        <v>99332</v>
      </c>
      <c r="G12">
        <v>70.72</v>
      </c>
    </row>
    <row r="13" spans="1:7" x14ac:dyDescent="0.35">
      <c r="A13">
        <v>11</v>
      </c>
      <c r="B13">
        <v>1.4300000000000001E-4</v>
      </c>
      <c r="C13" s="4">
        <v>99190</v>
      </c>
      <c r="D13">
        <v>64.34</v>
      </c>
      <c r="E13">
        <v>1.21E-4</v>
      </c>
      <c r="F13" s="4">
        <v>99321</v>
      </c>
      <c r="G13">
        <v>69.72</v>
      </c>
    </row>
    <row r="14" spans="1:7" x14ac:dyDescent="0.35">
      <c r="A14">
        <v>12</v>
      </c>
      <c r="B14">
        <v>1.7100000000000001E-4</v>
      </c>
      <c r="C14" s="4">
        <v>99176</v>
      </c>
      <c r="D14">
        <v>63.35</v>
      </c>
      <c r="E14">
        <v>1.3999999999999999E-4</v>
      </c>
      <c r="F14" s="4">
        <v>99309</v>
      </c>
      <c r="G14">
        <v>68.73</v>
      </c>
    </row>
    <row r="15" spans="1:7" x14ac:dyDescent="0.35">
      <c r="A15">
        <v>13</v>
      </c>
      <c r="B15">
        <v>2.2699999999999999E-4</v>
      </c>
      <c r="C15" s="4">
        <v>99159</v>
      </c>
      <c r="D15">
        <v>62.36</v>
      </c>
      <c r="E15">
        <v>1.6200000000000001E-4</v>
      </c>
      <c r="F15" s="4">
        <v>99295</v>
      </c>
      <c r="G15">
        <v>67.739999999999995</v>
      </c>
    </row>
    <row r="16" spans="1:7" x14ac:dyDescent="0.35">
      <c r="A16">
        <v>14</v>
      </c>
      <c r="B16">
        <v>3.2000000000000003E-4</v>
      </c>
      <c r="C16" s="4">
        <v>99136</v>
      </c>
      <c r="D16">
        <v>61.37</v>
      </c>
      <c r="E16">
        <v>1.8799999999999999E-4</v>
      </c>
      <c r="F16" s="4">
        <v>99279</v>
      </c>
      <c r="G16">
        <v>66.75</v>
      </c>
    </row>
    <row r="17" spans="1:7" x14ac:dyDescent="0.35">
      <c r="A17">
        <v>15</v>
      </c>
      <c r="B17">
        <v>4.5100000000000001E-4</v>
      </c>
      <c r="C17" s="4">
        <v>99104</v>
      </c>
      <c r="D17">
        <v>60.39</v>
      </c>
      <c r="E17">
        <v>2.24E-4</v>
      </c>
      <c r="F17" s="4">
        <v>99260</v>
      </c>
      <c r="G17">
        <v>65.760000000000005</v>
      </c>
    </row>
    <row r="18" spans="1:7" x14ac:dyDescent="0.35">
      <c r="A18">
        <v>16</v>
      </c>
      <c r="B18">
        <v>6.2200000000000005E-4</v>
      </c>
      <c r="C18" s="4">
        <v>99060</v>
      </c>
      <c r="D18">
        <v>59.42</v>
      </c>
      <c r="E18">
        <v>2.7599999999999999E-4</v>
      </c>
      <c r="F18" s="4">
        <v>99238</v>
      </c>
      <c r="G18">
        <v>64.78</v>
      </c>
    </row>
    <row r="19" spans="1:7" x14ac:dyDescent="0.35">
      <c r="A19">
        <v>17</v>
      </c>
      <c r="B19">
        <v>8.2600000000000002E-4</v>
      </c>
      <c r="C19" s="4">
        <v>98998</v>
      </c>
      <c r="D19">
        <v>58.46</v>
      </c>
      <c r="E19">
        <v>3.3700000000000001E-4</v>
      </c>
      <c r="F19" s="4">
        <v>99211</v>
      </c>
      <c r="G19">
        <v>63.8</v>
      </c>
    </row>
    <row r="20" spans="1:7" x14ac:dyDescent="0.35">
      <c r="A20">
        <v>18</v>
      </c>
      <c r="B20">
        <v>1.026E-3</v>
      </c>
      <c r="C20" s="4">
        <v>98916</v>
      </c>
      <c r="D20">
        <v>57.5</v>
      </c>
      <c r="E20">
        <v>3.9500000000000001E-4</v>
      </c>
      <c r="F20" s="4">
        <v>99177</v>
      </c>
      <c r="G20">
        <v>62.82</v>
      </c>
    </row>
    <row r="21" spans="1:7" x14ac:dyDescent="0.35">
      <c r="A21">
        <v>19</v>
      </c>
      <c r="B21">
        <v>1.1820000000000001E-3</v>
      </c>
      <c r="C21" s="4">
        <v>98815</v>
      </c>
      <c r="D21">
        <v>56.56</v>
      </c>
      <c r="E21">
        <v>4.4999999999999999E-4</v>
      </c>
      <c r="F21" s="4">
        <v>99138</v>
      </c>
      <c r="G21">
        <v>61.84</v>
      </c>
    </row>
    <row r="22" spans="1:7" x14ac:dyDescent="0.35">
      <c r="A22">
        <v>20</v>
      </c>
      <c r="B22">
        <v>1.3010000000000001E-3</v>
      </c>
      <c r="C22" s="4">
        <v>98698</v>
      </c>
      <c r="D22">
        <v>55.63</v>
      </c>
      <c r="E22">
        <v>4.9600000000000002E-4</v>
      </c>
      <c r="F22" s="4">
        <v>99094</v>
      </c>
      <c r="G22">
        <v>60.87</v>
      </c>
    </row>
    <row r="23" spans="1:7" x14ac:dyDescent="0.35">
      <c r="A23">
        <v>21</v>
      </c>
      <c r="B23">
        <v>1.4040000000000001E-3</v>
      </c>
      <c r="C23" s="4">
        <v>98570</v>
      </c>
      <c r="D23">
        <v>54.7</v>
      </c>
      <c r="E23">
        <v>5.3200000000000003E-4</v>
      </c>
      <c r="F23" s="4">
        <v>99044</v>
      </c>
      <c r="G23">
        <v>59.9</v>
      </c>
    </row>
    <row r="24" spans="1:7" x14ac:dyDescent="0.35">
      <c r="A24">
        <v>22</v>
      </c>
      <c r="B24">
        <v>1.498E-3</v>
      </c>
      <c r="C24" s="4">
        <v>98431</v>
      </c>
      <c r="D24">
        <v>53.78</v>
      </c>
      <c r="E24">
        <v>5.6700000000000001E-4</v>
      </c>
      <c r="F24" s="4">
        <v>98992</v>
      </c>
      <c r="G24">
        <v>58.93</v>
      </c>
    </row>
    <row r="25" spans="1:7" x14ac:dyDescent="0.35">
      <c r="A25">
        <v>23</v>
      </c>
      <c r="B25">
        <v>1.586E-3</v>
      </c>
      <c r="C25" s="4">
        <v>98284</v>
      </c>
      <c r="D25">
        <v>52.86</v>
      </c>
      <c r="E25">
        <v>6.0999999999999997E-4</v>
      </c>
      <c r="F25" s="4">
        <v>98936</v>
      </c>
      <c r="G25">
        <v>57.97</v>
      </c>
    </row>
    <row r="26" spans="1:7" x14ac:dyDescent="0.35">
      <c r="A26">
        <v>24</v>
      </c>
      <c r="B26">
        <v>1.6789999999999999E-3</v>
      </c>
      <c r="C26" s="4">
        <v>98128</v>
      </c>
      <c r="D26">
        <v>51.94</v>
      </c>
      <c r="E26">
        <v>6.4999999999999997E-4</v>
      </c>
      <c r="F26" s="4">
        <v>98875</v>
      </c>
      <c r="G26">
        <v>57</v>
      </c>
    </row>
    <row r="27" spans="1:7" x14ac:dyDescent="0.35">
      <c r="A27">
        <v>25</v>
      </c>
      <c r="B27">
        <v>1.776E-3</v>
      </c>
      <c r="C27" s="4">
        <v>97963</v>
      </c>
      <c r="D27">
        <v>51.03</v>
      </c>
      <c r="E27">
        <v>6.9899999999999997E-4</v>
      </c>
      <c r="F27" s="4">
        <v>98811</v>
      </c>
      <c r="G27">
        <v>56.04</v>
      </c>
    </row>
    <row r="28" spans="1:7" x14ac:dyDescent="0.35">
      <c r="A28">
        <v>26</v>
      </c>
      <c r="B28">
        <v>1.8810000000000001E-3</v>
      </c>
      <c r="C28" s="4">
        <v>97789</v>
      </c>
      <c r="D28">
        <v>50.12</v>
      </c>
      <c r="E28">
        <v>7.4299999999999995E-4</v>
      </c>
      <c r="F28" s="4">
        <v>98742</v>
      </c>
      <c r="G28">
        <v>55.08</v>
      </c>
    </row>
    <row r="29" spans="1:7" x14ac:dyDescent="0.35">
      <c r="A29">
        <v>27</v>
      </c>
      <c r="B29">
        <v>1.9849999999999998E-3</v>
      </c>
      <c r="C29" s="4">
        <v>97605</v>
      </c>
      <c r="D29">
        <v>49.21</v>
      </c>
      <c r="E29">
        <v>7.9600000000000005E-4</v>
      </c>
      <c r="F29" s="4">
        <v>98669</v>
      </c>
      <c r="G29">
        <v>54.12</v>
      </c>
    </row>
    <row r="30" spans="1:7" x14ac:dyDescent="0.35">
      <c r="A30">
        <v>28</v>
      </c>
      <c r="B30">
        <v>2.0950000000000001E-3</v>
      </c>
      <c r="C30" s="4">
        <v>97412</v>
      </c>
      <c r="D30">
        <v>48.31</v>
      </c>
      <c r="E30">
        <v>8.5499999999999997E-4</v>
      </c>
      <c r="F30" s="4">
        <v>98590</v>
      </c>
      <c r="G30">
        <v>53.16</v>
      </c>
    </row>
    <row r="31" spans="1:7" x14ac:dyDescent="0.35">
      <c r="A31">
        <v>29</v>
      </c>
      <c r="B31">
        <v>2.2190000000000001E-3</v>
      </c>
      <c r="C31" s="4">
        <v>97208</v>
      </c>
      <c r="D31">
        <v>47.41</v>
      </c>
      <c r="E31">
        <v>9.2400000000000002E-4</v>
      </c>
      <c r="F31" s="4">
        <v>98506</v>
      </c>
      <c r="G31">
        <v>52.2</v>
      </c>
    </row>
    <row r="32" spans="1:7" x14ac:dyDescent="0.35">
      <c r="A32">
        <v>30</v>
      </c>
      <c r="B32">
        <v>2.3319999999999999E-3</v>
      </c>
      <c r="C32" s="4">
        <v>96992</v>
      </c>
      <c r="D32">
        <v>46.51</v>
      </c>
      <c r="E32">
        <v>9.8799999999999995E-4</v>
      </c>
      <c r="F32" s="4">
        <v>98415</v>
      </c>
      <c r="G32">
        <v>51.25</v>
      </c>
    </row>
    <row r="33" spans="1:7" x14ac:dyDescent="0.35">
      <c r="A33">
        <v>31</v>
      </c>
      <c r="B33">
        <v>2.4450000000000001E-3</v>
      </c>
      <c r="C33" s="4">
        <v>96766</v>
      </c>
      <c r="D33">
        <v>45.62</v>
      </c>
      <c r="E33">
        <v>1.0529999999999999E-3</v>
      </c>
      <c r="F33" s="4">
        <v>98318</v>
      </c>
      <c r="G33">
        <v>50.3</v>
      </c>
    </row>
    <row r="34" spans="1:7" x14ac:dyDescent="0.35">
      <c r="A34">
        <v>32</v>
      </c>
      <c r="B34">
        <v>2.562E-3</v>
      </c>
      <c r="C34" s="4">
        <v>96529</v>
      </c>
      <c r="D34">
        <v>44.73</v>
      </c>
      <c r="E34">
        <v>1.1230000000000001E-3</v>
      </c>
      <c r="F34" s="4">
        <v>98214</v>
      </c>
      <c r="G34">
        <v>49.35</v>
      </c>
    </row>
    <row r="35" spans="1:7" x14ac:dyDescent="0.35">
      <c r="A35">
        <v>33</v>
      </c>
      <c r="B35">
        <v>2.653E-3</v>
      </c>
      <c r="C35" s="4">
        <v>96282</v>
      </c>
      <c r="D35">
        <v>43.84</v>
      </c>
      <c r="E35">
        <v>1.1980000000000001E-3</v>
      </c>
      <c r="F35" s="4">
        <v>98104</v>
      </c>
      <c r="G35">
        <v>48.41</v>
      </c>
    </row>
    <row r="36" spans="1:7" x14ac:dyDescent="0.35">
      <c r="A36">
        <v>34</v>
      </c>
      <c r="B36">
        <v>2.7160000000000001E-3</v>
      </c>
      <c r="C36" s="4">
        <v>96026</v>
      </c>
      <c r="D36">
        <v>42.96</v>
      </c>
      <c r="E36">
        <v>1.263E-3</v>
      </c>
      <c r="F36" s="4">
        <v>97986</v>
      </c>
      <c r="G36">
        <v>47.47</v>
      </c>
    </row>
    <row r="37" spans="1:7" x14ac:dyDescent="0.35">
      <c r="A37">
        <v>35</v>
      </c>
      <c r="B37">
        <v>2.7910000000000001E-3</v>
      </c>
      <c r="C37" s="4">
        <v>95765</v>
      </c>
      <c r="D37">
        <v>42.08</v>
      </c>
      <c r="E37">
        <v>1.3240000000000001E-3</v>
      </c>
      <c r="F37" s="4">
        <v>97863</v>
      </c>
      <c r="G37">
        <v>46.53</v>
      </c>
    </row>
    <row r="38" spans="1:7" x14ac:dyDescent="0.35">
      <c r="A38">
        <v>36</v>
      </c>
      <c r="B38">
        <v>2.8939999999999999E-3</v>
      </c>
      <c r="C38" s="4">
        <v>95498</v>
      </c>
      <c r="D38">
        <v>41.19</v>
      </c>
      <c r="E38">
        <v>1.403E-3</v>
      </c>
      <c r="F38" s="4">
        <v>97733</v>
      </c>
      <c r="G38">
        <v>45.59</v>
      </c>
    </row>
    <row r="39" spans="1:7" x14ac:dyDescent="0.35">
      <c r="A39">
        <v>37</v>
      </c>
      <c r="B39">
        <v>2.9940000000000001E-3</v>
      </c>
      <c r="C39" s="4">
        <v>95222</v>
      </c>
      <c r="D39">
        <v>40.31</v>
      </c>
      <c r="E39">
        <v>1.493E-3</v>
      </c>
      <c r="F39" s="4">
        <v>97596</v>
      </c>
      <c r="G39">
        <v>44.65</v>
      </c>
    </row>
    <row r="40" spans="1:7" x14ac:dyDescent="0.35">
      <c r="A40">
        <v>38</v>
      </c>
      <c r="B40">
        <v>3.091E-3</v>
      </c>
      <c r="C40" s="4">
        <v>94937</v>
      </c>
      <c r="D40">
        <v>39.43</v>
      </c>
      <c r="E40">
        <v>1.596E-3</v>
      </c>
      <c r="F40" s="4">
        <v>97450</v>
      </c>
      <c r="G40">
        <v>43.72</v>
      </c>
    </row>
    <row r="41" spans="1:7" x14ac:dyDescent="0.35">
      <c r="A41">
        <v>39</v>
      </c>
      <c r="B41">
        <v>3.2169999999999998E-3</v>
      </c>
      <c r="C41" s="4">
        <v>94643</v>
      </c>
      <c r="D41">
        <v>38.549999999999997</v>
      </c>
      <c r="E41">
        <v>1.6999999999999999E-3</v>
      </c>
      <c r="F41" s="4">
        <v>97295</v>
      </c>
      <c r="G41">
        <v>42.79</v>
      </c>
    </row>
    <row r="42" spans="1:7" x14ac:dyDescent="0.35">
      <c r="A42">
        <v>40</v>
      </c>
      <c r="B42">
        <v>3.3530000000000001E-3</v>
      </c>
      <c r="C42" s="4">
        <v>94339</v>
      </c>
      <c r="D42">
        <v>37.67</v>
      </c>
      <c r="E42">
        <v>1.8029999999999999E-3</v>
      </c>
      <c r="F42" s="4">
        <v>97129</v>
      </c>
      <c r="G42">
        <v>41.86</v>
      </c>
    </row>
    <row r="43" spans="1:7" x14ac:dyDescent="0.35">
      <c r="A43">
        <v>41</v>
      </c>
      <c r="B43">
        <v>3.4989999999999999E-3</v>
      </c>
      <c r="C43" s="4">
        <v>94022</v>
      </c>
      <c r="D43">
        <v>36.799999999999997</v>
      </c>
      <c r="E43">
        <v>1.905E-3</v>
      </c>
      <c r="F43" s="4">
        <v>96954</v>
      </c>
      <c r="G43">
        <v>40.93</v>
      </c>
    </row>
    <row r="44" spans="1:7" x14ac:dyDescent="0.35">
      <c r="A44">
        <v>42</v>
      </c>
      <c r="B44">
        <v>3.6419999999999998E-3</v>
      </c>
      <c r="C44" s="4">
        <v>93693</v>
      </c>
      <c r="D44">
        <v>35.93</v>
      </c>
      <c r="E44">
        <v>2.0089999999999999E-3</v>
      </c>
      <c r="F44" s="4">
        <v>96769</v>
      </c>
      <c r="G44">
        <v>40.01</v>
      </c>
    </row>
    <row r="45" spans="1:7" x14ac:dyDescent="0.35">
      <c r="A45">
        <v>43</v>
      </c>
      <c r="B45">
        <v>3.8110000000000002E-3</v>
      </c>
      <c r="C45" s="4">
        <v>93352</v>
      </c>
      <c r="D45">
        <v>35.049999999999997</v>
      </c>
      <c r="E45">
        <v>2.1159999999999998E-3</v>
      </c>
      <c r="F45" s="4">
        <v>96575</v>
      </c>
      <c r="G45">
        <v>39.090000000000003</v>
      </c>
    </row>
    <row r="46" spans="1:7" x14ac:dyDescent="0.35">
      <c r="A46">
        <v>44</v>
      </c>
      <c r="B46">
        <v>3.9960000000000004E-3</v>
      </c>
      <c r="C46" s="4">
        <v>92997</v>
      </c>
      <c r="D46">
        <v>34.19</v>
      </c>
      <c r="E46">
        <v>2.2230000000000001E-3</v>
      </c>
      <c r="F46" s="4">
        <v>96371</v>
      </c>
      <c r="G46">
        <v>38.17</v>
      </c>
    </row>
    <row r="47" spans="1:7" x14ac:dyDescent="0.35">
      <c r="A47">
        <v>45</v>
      </c>
      <c r="B47">
        <v>4.1749999999999999E-3</v>
      </c>
      <c r="C47" s="4">
        <v>92625</v>
      </c>
      <c r="D47">
        <v>33.32</v>
      </c>
      <c r="E47">
        <v>2.3519999999999999E-3</v>
      </c>
      <c r="F47" s="4">
        <v>96156</v>
      </c>
      <c r="G47">
        <v>37.25</v>
      </c>
    </row>
    <row r="48" spans="1:7" x14ac:dyDescent="0.35">
      <c r="A48">
        <v>46</v>
      </c>
      <c r="B48">
        <v>4.3880000000000004E-3</v>
      </c>
      <c r="C48" s="4">
        <v>92238</v>
      </c>
      <c r="D48">
        <v>32.46</v>
      </c>
      <c r="E48">
        <v>2.516E-3</v>
      </c>
      <c r="F48" s="4">
        <v>95930</v>
      </c>
      <c r="G48">
        <v>36.340000000000003</v>
      </c>
    </row>
    <row r="49" spans="1:7" x14ac:dyDescent="0.35">
      <c r="A49">
        <v>47</v>
      </c>
      <c r="B49">
        <v>4.666E-3</v>
      </c>
      <c r="C49" s="4">
        <v>91833</v>
      </c>
      <c r="D49">
        <v>31.6</v>
      </c>
      <c r="E49">
        <v>2.712E-3</v>
      </c>
      <c r="F49" s="4">
        <v>95689</v>
      </c>
      <c r="G49">
        <v>35.43</v>
      </c>
    </row>
    <row r="50" spans="1:7" x14ac:dyDescent="0.35">
      <c r="A50">
        <v>48</v>
      </c>
      <c r="B50">
        <v>4.973E-3</v>
      </c>
      <c r="C50" s="4">
        <v>91405</v>
      </c>
      <c r="D50">
        <v>30.75</v>
      </c>
      <c r="E50">
        <v>2.9359999999999998E-3</v>
      </c>
      <c r="F50" s="4">
        <v>95429</v>
      </c>
      <c r="G50">
        <v>34.53</v>
      </c>
    </row>
    <row r="51" spans="1:7" x14ac:dyDescent="0.35">
      <c r="A51">
        <v>49</v>
      </c>
      <c r="B51">
        <v>5.3049999999999998E-3</v>
      </c>
      <c r="C51" s="4">
        <v>90950</v>
      </c>
      <c r="D51">
        <v>29.9</v>
      </c>
      <c r="E51">
        <v>3.1770000000000001E-3</v>
      </c>
      <c r="F51" s="4">
        <v>95149</v>
      </c>
      <c r="G51">
        <v>33.630000000000003</v>
      </c>
    </row>
    <row r="52" spans="1:7" x14ac:dyDescent="0.35">
      <c r="A52">
        <v>50</v>
      </c>
      <c r="B52">
        <v>5.666E-3</v>
      </c>
      <c r="C52" s="4">
        <v>90468</v>
      </c>
      <c r="D52">
        <v>29.05</v>
      </c>
      <c r="E52">
        <v>3.4069999999999999E-3</v>
      </c>
      <c r="F52" s="4">
        <v>94847</v>
      </c>
      <c r="G52">
        <v>32.729999999999997</v>
      </c>
    </row>
    <row r="53" spans="1:7" x14ac:dyDescent="0.35">
      <c r="A53">
        <v>51</v>
      </c>
      <c r="B53">
        <v>6.0689999999999997E-3</v>
      </c>
      <c r="C53" s="4">
        <v>89955</v>
      </c>
      <c r="D53">
        <v>28.22</v>
      </c>
      <c r="E53">
        <v>3.6419999999999998E-3</v>
      </c>
      <c r="F53" s="4">
        <v>94524</v>
      </c>
      <c r="G53">
        <v>31.84</v>
      </c>
    </row>
    <row r="54" spans="1:7" x14ac:dyDescent="0.35">
      <c r="A54">
        <v>52</v>
      </c>
      <c r="B54">
        <v>6.5389999999999997E-3</v>
      </c>
      <c r="C54" s="4">
        <v>89409</v>
      </c>
      <c r="D54">
        <v>27.39</v>
      </c>
      <c r="E54">
        <v>3.9170000000000003E-3</v>
      </c>
      <c r="F54" s="4">
        <v>94180</v>
      </c>
      <c r="G54">
        <v>30.96</v>
      </c>
    </row>
    <row r="55" spans="1:7" x14ac:dyDescent="0.35">
      <c r="A55">
        <v>53</v>
      </c>
      <c r="B55">
        <v>7.0730000000000003E-3</v>
      </c>
      <c r="C55" s="4">
        <v>88825</v>
      </c>
      <c r="D55">
        <v>26.56</v>
      </c>
      <c r="E55">
        <v>4.2379999999999996E-3</v>
      </c>
      <c r="F55" s="4">
        <v>93811</v>
      </c>
      <c r="G55">
        <v>30.08</v>
      </c>
    </row>
    <row r="56" spans="1:7" x14ac:dyDescent="0.35">
      <c r="A56">
        <v>54</v>
      </c>
      <c r="B56">
        <v>7.6750000000000004E-3</v>
      </c>
      <c r="C56" s="4">
        <v>88196</v>
      </c>
      <c r="D56">
        <v>25.75</v>
      </c>
      <c r="E56">
        <v>4.6189999999999998E-3</v>
      </c>
      <c r="F56" s="4">
        <v>93413</v>
      </c>
      <c r="G56">
        <v>29.2</v>
      </c>
    </row>
    <row r="57" spans="1:7" x14ac:dyDescent="0.35">
      <c r="A57">
        <v>55</v>
      </c>
      <c r="B57">
        <v>8.3479999999999995E-3</v>
      </c>
      <c r="C57" s="4">
        <v>87520</v>
      </c>
      <c r="D57">
        <v>24.94</v>
      </c>
      <c r="E57">
        <v>5.0400000000000002E-3</v>
      </c>
      <c r="F57" s="4">
        <v>92982</v>
      </c>
      <c r="G57">
        <v>28.34</v>
      </c>
    </row>
    <row r="58" spans="1:7" x14ac:dyDescent="0.35">
      <c r="A58">
        <v>56</v>
      </c>
      <c r="B58">
        <v>9.051E-3</v>
      </c>
      <c r="C58" s="4">
        <v>86789</v>
      </c>
      <c r="D58">
        <v>24.15</v>
      </c>
      <c r="E58">
        <v>5.4929999999999996E-3</v>
      </c>
      <c r="F58" s="4">
        <v>92513</v>
      </c>
      <c r="G58">
        <v>27.48</v>
      </c>
    </row>
    <row r="59" spans="1:7" x14ac:dyDescent="0.35">
      <c r="A59">
        <v>57</v>
      </c>
      <c r="B59">
        <v>9.8219999999999991E-3</v>
      </c>
      <c r="C59" s="4">
        <v>86003</v>
      </c>
      <c r="D59">
        <v>23.37</v>
      </c>
      <c r="E59">
        <v>5.9870000000000001E-3</v>
      </c>
      <c r="F59" s="4">
        <v>92005</v>
      </c>
      <c r="G59">
        <v>26.63</v>
      </c>
    </row>
    <row r="60" spans="1:7" x14ac:dyDescent="0.35">
      <c r="A60">
        <v>58</v>
      </c>
      <c r="B60">
        <v>1.0669E-2</v>
      </c>
      <c r="C60" s="4">
        <v>85159</v>
      </c>
      <c r="D60">
        <v>22.59</v>
      </c>
      <c r="E60">
        <v>6.509E-3</v>
      </c>
      <c r="F60" s="4">
        <v>91454</v>
      </c>
      <c r="G60">
        <v>25.78</v>
      </c>
    </row>
    <row r="61" spans="1:7" x14ac:dyDescent="0.35">
      <c r="A61">
        <v>59</v>
      </c>
      <c r="B61">
        <v>1.1547999999999999E-2</v>
      </c>
      <c r="C61" s="4">
        <v>84250</v>
      </c>
      <c r="D61">
        <v>21.83</v>
      </c>
      <c r="E61">
        <v>7.0670000000000004E-3</v>
      </c>
      <c r="F61" s="4">
        <v>90859</v>
      </c>
      <c r="G61">
        <v>24.95</v>
      </c>
    </row>
    <row r="62" spans="1:7" x14ac:dyDescent="0.35">
      <c r="A62">
        <v>60</v>
      </c>
      <c r="B62">
        <v>1.2458E-2</v>
      </c>
      <c r="C62" s="4">
        <v>83277</v>
      </c>
      <c r="D62">
        <v>21.08</v>
      </c>
      <c r="E62">
        <v>7.6579999999999999E-3</v>
      </c>
      <c r="F62" s="4">
        <v>90217</v>
      </c>
      <c r="G62">
        <v>24.12</v>
      </c>
    </row>
    <row r="63" spans="1:7" x14ac:dyDescent="0.35">
      <c r="A63">
        <v>61</v>
      </c>
      <c r="B63">
        <v>1.3403E-2</v>
      </c>
      <c r="C63" s="4">
        <v>82240</v>
      </c>
      <c r="D63">
        <v>20.34</v>
      </c>
      <c r="E63">
        <v>8.3049999999999999E-3</v>
      </c>
      <c r="F63" s="4">
        <v>89526</v>
      </c>
      <c r="G63">
        <v>23.31</v>
      </c>
    </row>
    <row r="64" spans="1:7" x14ac:dyDescent="0.35">
      <c r="A64">
        <v>62</v>
      </c>
      <c r="B64">
        <v>1.4449999999999999E-2</v>
      </c>
      <c r="C64" s="4">
        <v>81138</v>
      </c>
      <c r="D64">
        <v>19.61</v>
      </c>
      <c r="E64">
        <v>8.9910000000000007E-3</v>
      </c>
      <c r="F64" s="4">
        <v>88782</v>
      </c>
      <c r="G64">
        <v>22.5</v>
      </c>
    </row>
    <row r="65" spans="1:7" x14ac:dyDescent="0.35">
      <c r="A65">
        <v>63</v>
      </c>
      <c r="B65">
        <v>1.5571E-2</v>
      </c>
      <c r="C65" s="4">
        <v>79965</v>
      </c>
      <c r="D65">
        <v>18.89</v>
      </c>
      <c r="E65">
        <v>9.6810000000000004E-3</v>
      </c>
      <c r="F65" s="4">
        <v>87984</v>
      </c>
      <c r="G65">
        <v>21.7</v>
      </c>
    </row>
    <row r="66" spans="1:7" x14ac:dyDescent="0.35">
      <c r="A66">
        <v>64</v>
      </c>
      <c r="B66">
        <v>1.6736999999999998E-2</v>
      </c>
      <c r="C66" s="4">
        <v>78720</v>
      </c>
      <c r="D66">
        <v>18.18</v>
      </c>
      <c r="E66">
        <v>1.0343E-2</v>
      </c>
      <c r="F66" s="4">
        <v>87132</v>
      </c>
      <c r="G66">
        <v>20.9</v>
      </c>
    </row>
    <row r="67" spans="1:7" x14ac:dyDescent="0.35">
      <c r="A67">
        <v>65</v>
      </c>
      <c r="B67">
        <v>1.7897E-2</v>
      </c>
      <c r="C67" s="4">
        <v>77402</v>
      </c>
      <c r="D67">
        <v>17.48</v>
      </c>
      <c r="E67">
        <v>1.1018E-2</v>
      </c>
      <c r="F67" s="4">
        <v>86231</v>
      </c>
      <c r="G67">
        <v>20.12</v>
      </c>
    </row>
    <row r="68" spans="1:7" x14ac:dyDescent="0.35">
      <c r="A68">
        <v>66</v>
      </c>
      <c r="B68">
        <v>1.9016999999999999E-2</v>
      </c>
      <c r="C68" s="4">
        <v>76017</v>
      </c>
      <c r="D68">
        <v>16.79</v>
      </c>
      <c r="E68">
        <v>1.1743E-2</v>
      </c>
      <c r="F68" s="4">
        <v>85281</v>
      </c>
      <c r="G68">
        <v>19.34</v>
      </c>
    </row>
    <row r="69" spans="1:7" x14ac:dyDescent="0.35">
      <c r="A69">
        <v>67</v>
      </c>
      <c r="B69">
        <v>2.0212999999999998E-2</v>
      </c>
      <c r="C69" s="4">
        <v>74572</v>
      </c>
      <c r="D69">
        <v>16.11</v>
      </c>
      <c r="E69">
        <v>1.2532E-2</v>
      </c>
      <c r="F69" s="4">
        <v>84279</v>
      </c>
      <c r="G69">
        <v>18.559999999999999</v>
      </c>
    </row>
    <row r="70" spans="1:7" x14ac:dyDescent="0.35">
      <c r="A70">
        <v>68</v>
      </c>
      <c r="B70">
        <v>2.1569000000000001E-2</v>
      </c>
      <c r="C70" s="4">
        <v>73064</v>
      </c>
      <c r="D70">
        <v>15.43</v>
      </c>
      <c r="E70">
        <v>1.3512E-2</v>
      </c>
      <c r="F70" s="4">
        <v>83223</v>
      </c>
      <c r="G70">
        <v>17.79</v>
      </c>
    </row>
    <row r="71" spans="1:7" x14ac:dyDescent="0.35">
      <c r="A71">
        <v>69</v>
      </c>
      <c r="B71">
        <v>2.3088000000000001E-2</v>
      </c>
      <c r="C71" s="4">
        <v>71488</v>
      </c>
      <c r="D71">
        <v>14.76</v>
      </c>
      <c r="E71">
        <v>1.4683999999999999E-2</v>
      </c>
      <c r="F71" s="4">
        <v>82099</v>
      </c>
      <c r="G71">
        <v>17.03</v>
      </c>
    </row>
    <row r="72" spans="1:7" x14ac:dyDescent="0.35">
      <c r="A72">
        <v>70</v>
      </c>
      <c r="B72">
        <v>2.4827999999999999E-2</v>
      </c>
      <c r="C72" s="4">
        <v>69838</v>
      </c>
      <c r="D72">
        <v>14.09</v>
      </c>
      <c r="E72">
        <v>1.6025000000000001E-2</v>
      </c>
      <c r="F72" s="4">
        <v>80893</v>
      </c>
      <c r="G72">
        <v>16.27</v>
      </c>
    </row>
    <row r="73" spans="1:7" x14ac:dyDescent="0.35">
      <c r="A73">
        <v>71</v>
      </c>
      <c r="B73">
        <v>2.6705E-2</v>
      </c>
      <c r="C73" s="4">
        <v>68104</v>
      </c>
      <c r="D73">
        <v>13.44</v>
      </c>
      <c r="E73">
        <v>1.7468000000000001E-2</v>
      </c>
      <c r="F73" s="4">
        <v>79597</v>
      </c>
      <c r="G73">
        <v>15.53</v>
      </c>
    </row>
    <row r="74" spans="1:7" x14ac:dyDescent="0.35">
      <c r="A74">
        <v>72</v>
      </c>
      <c r="B74">
        <v>2.8760999999999998E-2</v>
      </c>
      <c r="C74" s="4">
        <v>66285</v>
      </c>
      <c r="D74">
        <v>12.8</v>
      </c>
      <c r="E74">
        <v>1.9195E-2</v>
      </c>
      <c r="F74" s="4">
        <v>78206</v>
      </c>
      <c r="G74">
        <v>14.8</v>
      </c>
    </row>
    <row r="75" spans="1:7" x14ac:dyDescent="0.35">
      <c r="A75">
        <v>73</v>
      </c>
      <c r="B75">
        <v>3.1116000000000001E-2</v>
      </c>
      <c r="C75" s="4">
        <v>64379</v>
      </c>
      <c r="D75">
        <v>12.16</v>
      </c>
      <c r="E75">
        <v>2.1194999999999999E-2</v>
      </c>
      <c r="F75" s="4">
        <v>76705</v>
      </c>
      <c r="G75">
        <v>14.08</v>
      </c>
    </row>
    <row r="76" spans="1:7" x14ac:dyDescent="0.35">
      <c r="A76">
        <v>74</v>
      </c>
      <c r="B76">
        <v>3.3861000000000002E-2</v>
      </c>
      <c r="C76" s="4">
        <v>62376</v>
      </c>
      <c r="D76">
        <v>11.53</v>
      </c>
      <c r="E76">
        <v>2.3452000000000001E-2</v>
      </c>
      <c r="F76" s="4">
        <v>75079</v>
      </c>
      <c r="G76">
        <v>13.37</v>
      </c>
    </row>
    <row r="77" spans="1:7" x14ac:dyDescent="0.35">
      <c r="A77">
        <v>75</v>
      </c>
      <c r="B77">
        <v>3.7088000000000003E-2</v>
      </c>
      <c r="C77" s="4">
        <v>60263</v>
      </c>
      <c r="D77">
        <v>10.92</v>
      </c>
      <c r="E77">
        <v>2.598E-2</v>
      </c>
      <c r="F77" s="4">
        <v>73319</v>
      </c>
      <c r="G77">
        <v>12.68</v>
      </c>
    </row>
    <row r="78" spans="1:7" x14ac:dyDescent="0.35">
      <c r="A78">
        <v>76</v>
      </c>
      <c r="B78">
        <v>4.1126000000000003E-2</v>
      </c>
      <c r="C78" s="4">
        <v>58028</v>
      </c>
      <c r="D78">
        <v>10.32</v>
      </c>
      <c r="E78">
        <v>2.9152999999999998E-2</v>
      </c>
      <c r="F78" s="4">
        <v>71414</v>
      </c>
      <c r="G78">
        <v>12</v>
      </c>
    </row>
    <row r="79" spans="1:7" x14ac:dyDescent="0.35">
      <c r="A79">
        <v>77</v>
      </c>
      <c r="B79">
        <v>4.5241000000000003E-2</v>
      </c>
      <c r="C79" s="4">
        <v>55642</v>
      </c>
      <c r="D79">
        <v>9.74</v>
      </c>
      <c r="E79">
        <v>3.2393999999999999E-2</v>
      </c>
      <c r="F79" s="4">
        <v>69332</v>
      </c>
      <c r="G79">
        <v>11.35</v>
      </c>
    </row>
    <row r="80" spans="1:7" x14ac:dyDescent="0.35">
      <c r="A80">
        <v>78</v>
      </c>
      <c r="B80">
        <v>4.9792999999999997E-2</v>
      </c>
      <c r="C80" s="4">
        <v>53125</v>
      </c>
      <c r="D80">
        <v>9.18</v>
      </c>
      <c r="E80">
        <v>3.5888000000000003E-2</v>
      </c>
      <c r="F80" s="4">
        <v>67086</v>
      </c>
      <c r="G80">
        <v>10.71</v>
      </c>
    </row>
    <row r="81" spans="1:7" x14ac:dyDescent="0.35">
      <c r="A81">
        <v>79</v>
      </c>
      <c r="B81">
        <v>5.4767999999999997E-2</v>
      </c>
      <c r="C81" s="4">
        <v>50479</v>
      </c>
      <c r="D81">
        <v>8.64</v>
      </c>
      <c r="E81">
        <v>3.9676000000000003E-2</v>
      </c>
      <c r="F81" s="4">
        <v>64678</v>
      </c>
      <c r="G81">
        <v>10.09</v>
      </c>
    </row>
    <row r="82" spans="1:7" x14ac:dyDescent="0.35">
      <c r="A82">
        <v>80</v>
      </c>
      <c r="B82">
        <v>6.0659999999999999E-2</v>
      </c>
      <c r="C82" s="4">
        <v>47715</v>
      </c>
      <c r="D82">
        <v>8.11</v>
      </c>
      <c r="E82">
        <v>4.4156000000000001E-2</v>
      </c>
      <c r="F82" s="4">
        <v>62112</v>
      </c>
      <c r="G82">
        <v>9.49</v>
      </c>
    </row>
    <row r="83" spans="1:7" x14ac:dyDescent="0.35">
      <c r="A83">
        <v>81</v>
      </c>
      <c r="B83">
        <v>6.7027000000000003E-2</v>
      </c>
      <c r="C83" s="4">
        <v>44820</v>
      </c>
      <c r="D83">
        <v>7.6</v>
      </c>
      <c r="E83">
        <v>4.9086999999999999E-2</v>
      </c>
      <c r="F83" s="4">
        <v>59370</v>
      </c>
      <c r="G83">
        <v>8.9</v>
      </c>
    </row>
    <row r="84" spans="1:7" x14ac:dyDescent="0.35">
      <c r="A84">
        <v>82</v>
      </c>
      <c r="B84">
        <v>7.3998999999999995E-2</v>
      </c>
      <c r="C84" s="4">
        <v>41816</v>
      </c>
      <c r="D84">
        <v>7.11</v>
      </c>
      <c r="E84">
        <v>5.4635000000000003E-2</v>
      </c>
      <c r="F84" s="4">
        <v>56455</v>
      </c>
      <c r="G84">
        <v>8.34</v>
      </c>
    </row>
    <row r="85" spans="1:7" x14ac:dyDescent="0.35">
      <c r="A85">
        <v>83</v>
      </c>
      <c r="B85">
        <v>8.1737000000000004E-2</v>
      </c>
      <c r="C85" s="4">
        <v>38722</v>
      </c>
      <c r="D85">
        <v>6.64</v>
      </c>
      <c r="E85">
        <v>6.1066000000000002E-2</v>
      </c>
      <c r="F85" s="4">
        <v>53371</v>
      </c>
      <c r="G85">
        <v>7.79</v>
      </c>
    </row>
    <row r="86" spans="1:7" x14ac:dyDescent="0.35">
      <c r="A86">
        <v>84</v>
      </c>
      <c r="B86">
        <v>9.0457999999999997E-2</v>
      </c>
      <c r="C86" s="4">
        <v>35557</v>
      </c>
      <c r="D86">
        <v>6.18</v>
      </c>
      <c r="E86">
        <v>6.8431000000000006E-2</v>
      </c>
      <c r="F86" s="4">
        <v>50112</v>
      </c>
      <c r="G86">
        <v>7.26</v>
      </c>
    </row>
    <row r="87" spans="1:7" x14ac:dyDescent="0.35">
      <c r="A87">
        <v>85</v>
      </c>
      <c r="B87">
        <v>0.100525</v>
      </c>
      <c r="C87" s="4">
        <v>32340</v>
      </c>
      <c r="D87">
        <v>5.75</v>
      </c>
      <c r="E87">
        <v>7.6841000000000007E-2</v>
      </c>
      <c r="F87" s="4">
        <v>46683</v>
      </c>
      <c r="G87">
        <v>6.76</v>
      </c>
    </row>
    <row r="88" spans="1:7" x14ac:dyDescent="0.35">
      <c r="A88">
        <v>86</v>
      </c>
      <c r="B88">
        <v>0.111793</v>
      </c>
      <c r="C88" s="4">
        <v>29089</v>
      </c>
      <c r="D88">
        <v>5.34</v>
      </c>
      <c r="E88">
        <v>8.6205000000000004E-2</v>
      </c>
      <c r="F88" s="4">
        <v>43095</v>
      </c>
      <c r="G88">
        <v>6.28</v>
      </c>
    </row>
    <row r="89" spans="1:7" x14ac:dyDescent="0.35">
      <c r="A89">
        <v>87</v>
      </c>
      <c r="B89">
        <v>0.12449399999999999</v>
      </c>
      <c r="C89" s="4">
        <v>25837</v>
      </c>
      <c r="D89">
        <v>4.9400000000000004</v>
      </c>
      <c r="E89">
        <v>9.6851000000000007E-2</v>
      </c>
      <c r="F89" s="4">
        <v>39380</v>
      </c>
      <c r="G89">
        <v>5.83</v>
      </c>
    </row>
    <row r="90" spans="1:7" x14ac:dyDescent="0.35">
      <c r="A90">
        <v>88</v>
      </c>
      <c r="B90">
        <v>0.13839799999999999</v>
      </c>
      <c r="C90" s="4">
        <v>22621</v>
      </c>
      <c r="D90">
        <v>4.58</v>
      </c>
      <c r="E90">
        <v>0.109019</v>
      </c>
      <c r="F90" s="4">
        <v>35566</v>
      </c>
      <c r="G90">
        <v>5.4</v>
      </c>
    </row>
    <row r="91" spans="1:7" x14ac:dyDescent="0.35">
      <c r="A91">
        <v>89</v>
      </c>
      <c r="B91">
        <v>0.15320700000000001</v>
      </c>
      <c r="C91" s="4">
        <v>19490</v>
      </c>
      <c r="D91">
        <v>4.2300000000000004</v>
      </c>
      <c r="E91">
        <v>0.121867</v>
      </c>
      <c r="F91" s="4">
        <v>31689</v>
      </c>
      <c r="G91">
        <v>5</v>
      </c>
    </row>
    <row r="92" spans="1:7" x14ac:dyDescent="0.35">
      <c r="A92">
        <v>90</v>
      </c>
      <c r="B92">
        <v>0.16970399999999999</v>
      </c>
      <c r="C92" s="4">
        <v>16504</v>
      </c>
      <c r="D92">
        <v>3.91</v>
      </c>
      <c r="E92">
        <v>0.13580500000000001</v>
      </c>
      <c r="F92" s="4">
        <v>27827</v>
      </c>
      <c r="G92">
        <v>4.62</v>
      </c>
    </row>
    <row r="93" spans="1:7" x14ac:dyDescent="0.35">
      <c r="A93">
        <v>91</v>
      </c>
      <c r="B93">
        <v>0.18796299999999999</v>
      </c>
      <c r="C93" s="4">
        <v>13703</v>
      </c>
      <c r="D93">
        <v>3.6</v>
      </c>
      <c r="E93">
        <v>0.15110799999999999</v>
      </c>
      <c r="F93" s="4">
        <v>24048</v>
      </c>
      <c r="G93">
        <v>4.2699999999999996</v>
      </c>
    </row>
    <row r="94" spans="1:7" x14ac:dyDescent="0.35">
      <c r="A94">
        <v>92</v>
      </c>
      <c r="B94">
        <v>0.208395</v>
      </c>
      <c r="C94" s="4">
        <v>11128</v>
      </c>
      <c r="D94">
        <v>3.32</v>
      </c>
      <c r="E94">
        <v>0.16802</v>
      </c>
      <c r="F94" s="4">
        <v>20414</v>
      </c>
      <c r="G94">
        <v>3.94</v>
      </c>
    </row>
    <row r="95" spans="1:7" x14ac:dyDescent="0.35">
      <c r="A95">
        <v>93</v>
      </c>
      <c r="B95">
        <v>0.23080800000000001</v>
      </c>
      <c r="C95" s="4">
        <v>8809</v>
      </c>
      <c r="D95">
        <v>3.06</v>
      </c>
      <c r="E95">
        <v>0.18634000000000001</v>
      </c>
      <c r="F95" s="4">
        <v>16984</v>
      </c>
      <c r="G95">
        <v>3.64</v>
      </c>
    </row>
    <row r="96" spans="1:7" x14ac:dyDescent="0.35">
      <c r="A96">
        <v>94</v>
      </c>
      <c r="B96">
        <v>0.25391399999999997</v>
      </c>
      <c r="C96" s="4">
        <v>6776</v>
      </c>
      <c r="D96">
        <v>2.83</v>
      </c>
      <c r="E96">
        <v>0.206432</v>
      </c>
      <c r="F96" s="4">
        <v>13819</v>
      </c>
      <c r="G96">
        <v>3.36</v>
      </c>
    </row>
    <row r="97" spans="1:7" x14ac:dyDescent="0.35">
      <c r="A97">
        <v>95</v>
      </c>
      <c r="B97">
        <v>0.27740199999999998</v>
      </c>
      <c r="C97" s="4">
        <v>5055</v>
      </c>
      <c r="D97">
        <v>2.63</v>
      </c>
      <c r="E97">
        <v>0.22808600000000001</v>
      </c>
      <c r="F97" s="4">
        <v>10967</v>
      </c>
      <c r="G97">
        <v>3.1</v>
      </c>
    </row>
    <row r="98" spans="1:7" x14ac:dyDescent="0.35">
      <c r="A98">
        <v>96</v>
      </c>
      <c r="B98">
        <v>0.30088199999999998</v>
      </c>
      <c r="C98" s="4">
        <v>3653</v>
      </c>
      <c r="D98">
        <v>2.44</v>
      </c>
      <c r="E98">
        <v>0.25040600000000002</v>
      </c>
      <c r="F98" s="4">
        <v>8465</v>
      </c>
      <c r="G98">
        <v>2.87</v>
      </c>
    </row>
    <row r="99" spans="1:7" x14ac:dyDescent="0.35">
      <c r="A99">
        <v>97</v>
      </c>
      <c r="B99">
        <v>0.324326</v>
      </c>
      <c r="C99" s="4">
        <v>2554</v>
      </c>
      <c r="D99">
        <v>2.2799999999999998</v>
      </c>
      <c r="E99">
        <v>0.27369900000000003</v>
      </c>
      <c r="F99" s="4">
        <v>6346</v>
      </c>
      <c r="G99">
        <v>2.66</v>
      </c>
    </row>
    <row r="100" spans="1:7" x14ac:dyDescent="0.35">
      <c r="A100">
        <v>98</v>
      </c>
      <c r="B100">
        <v>0.34733199999999997</v>
      </c>
      <c r="C100" s="4">
        <v>1726</v>
      </c>
      <c r="D100">
        <v>2.13</v>
      </c>
      <c r="E100">
        <v>0.29698400000000003</v>
      </c>
      <c r="F100" s="4">
        <v>4609</v>
      </c>
      <c r="G100">
        <v>2.4700000000000002</v>
      </c>
    </row>
    <row r="101" spans="1:7" x14ac:dyDescent="0.35">
      <c r="A101">
        <v>99</v>
      </c>
      <c r="B101">
        <v>0.36942999999999998</v>
      </c>
      <c r="C101" s="4">
        <v>1126</v>
      </c>
      <c r="D101">
        <v>2</v>
      </c>
      <c r="E101">
        <v>0.31950200000000001</v>
      </c>
      <c r="F101" s="4">
        <v>3240</v>
      </c>
      <c r="G101">
        <v>2.2999999999999998</v>
      </c>
    </row>
    <row r="102" spans="1:7" x14ac:dyDescent="0.35">
      <c r="A102">
        <v>100</v>
      </c>
      <c r="B102">
        <v>0.39192700000000003</v>
      </c>
      <c r="C102">
        <v>710</v>
      </c>
      <c r="D102">
        <v>1.88</v>
      </c>
      <c r="E102">
        <v>0.34271600000000002</v>
      </c>
      <c r="F102" s="4">
        <v>2205</v>
      </c>
      <c r="G102">
        <v>2.14</v>
      </c>
    </row>
    <row r="103" spans="1:7" x14ac:dyDescent="0.35">
      <c r="A103">
        <v>101</v>
      </c>
      <c r="B103">
        <v>0.41472599999999998</v>
      </c>
      <c r="C103">
        <v>432</v>
      </c>
      <c r="D103">
        <v>1.76</v>
      </c>
      <c r="E103">
        <v>0.36653200000000002</v>
      </c>
      <c r="F103" s="4">
        <v>1449</v>
      </c>
      <c r="G103">
        <v>2</v>
      </c>
    </row>
    <row r="104" spans="1:7" x14ac:dyDescent="0.35">
      <c r="A104">
        <v>102</v>
      </c>
      <c r="B104">
        <v>0.437722</v>
      </c>
      <c r="C104">
        <v>253</v>
      </c>
      <c r="D104">
        <v>1.66</v>
      </c>
      <c r="E104">
        <v>0.39084400000000002</v>
      </c>
      <c r="F104">
        <v>918</v>
      </c>
      <c r="G104">
        <v>1.87</v>
      </c>
    </row>
    <row r="105" spans="1:7" x14ac:dyDescent="0.35">
      <c r="A105">
        <v>103</v>
      </c>
      <c r="B105">
        <v>0.46079999999999999</v>
      </c>
      <c r="C105">
        <v>142</v>
      </c>
      <c r="D105">
        <v>1.56</v>
      </c>
      <c r="E105">
        <v>0.41553099999999998</v>
      </c>
      <c r="F105">
        <v>559</v>
      </c>
      <c r="G105">
        <v>1.75</v>
      </c>
    </row>
    <row r="106" spans="1:7" x14ac:dyDescent="0.35">
      <c r="A106">
        <v>104</v>
      </c>
      <c r="B106">
        <v>0.48383999999999999</v>
      </c>
      <c r="C106">
        <v>77</v>
      </c>
      <c r="D106">
        <v>1.47</v>
      </c>
      <c r="E106">
        <v>0.44046299999999999</v>
      </c>
      <c r="F106">
        <v>327</v>
      </c>
      <c r="G106">
        <v>1.63</v>
      </c>
    </row>
    <row r="107" spans="1:7" x14ac:dyDescent="0.35">
      <c r="A107">
        <v>105</v>
      </c>
      <c r="B107">
        <v>0.50803200000000004</v>
      </c>
      <c r="C107">
        <v>40</v>
      </c>
      <c r="D107">
        <v>1.39</v>
      </c>
      <c r="E107">
        <v>0.466891</v>
      </c>
      <c r="F107">
        <v>183</v>
      </c>
      <c r="G107">
        <v>1.52</v>
      </c>
    </row>
    <row r="108" spans="1:7" x14ac:dyDescent="0.35">
      <c r="A108">
        <v>106</v>
      </c>
      <c r="B108">
        <v>0.53343399999999996</v>
      </c>
      <c r="C108">
        <v>19</v>
      </c>
      <c r="D108">
        <v>1.31</v>
      </c>
      <c r="E108">
        <v>0.49490400000000001</v>
      </c>
      <c r="F108">
        <v>97</v>
      </c>
      <c r="G108">
        <v>1.42</v>
      </c>
    </row>
    <row r="109" spans="1:7" x14ac:dyDescent="0.35">
      <c r="A109">
        <v>107</v>
      </c>
      <c r="B109">
        <v>0.56010499999999996</v>
      </c>
      <c r="C109">
        <v>9</v>
      </c>
      <c r="D109">
        <v>1.23</v>
      </c>
      <c r="E109">
        <v>0.52459900000000004</v>
      </c>
      <c r="F109">
        <v>49</v>
      </c>
      <c r="G109">
        <v>1.32</v>
      </c>
    </row>
    <row r="110" spans="1:7" x14ac:dyDescent="0.35">
      <c r="A110">
        <v>108</v>
      </c>
      <c r="B110">
        <v>0.58811100000000005</v>
      </c>
      <c r="C110">
        <v>4</v>
      </c>
      <c r="D110">
        <v>1.1499999999999999</v>
      </c>
      <c r="E110">
        <v>0.55607499999999999</v>
      </c>
      <c r="F110">
        <v>23</v>
      </c>
      <c r="G110">
        <v>1.23</v>
      </c>
    </row>
    <row r="111" spans="1:7" x14ac:dyDescent="0.35">
      <c r="A111">
        <v>109</v>
      </c>
      <c r="B111">
        <v>0.61751599999999995</v>
      </c>
      <c r="C111">
        <v>2</v>
      </c>
      <c r="D111">
        <v>1.08</v>
      </c>
      <c r="E111">
        <v>0.58943900000000005</v>
      </c>
      <c r="F111">
        <v>10</v>
      </c>
      <c r="G111">
        <v>1.1399999999999999</v>
      </c>
    </row>
    <row r="112" spans="1:7" x14ac:dyDescent="0.35">
      <c r="A112">
        <v>110</v>
      </c>
      <c r="B112">
        <v>0.64839199999999997</v>
      </c>
      <c r="C112">
        <v>1</v>
      </c>
      <c r="D112">
        <v>1.01</v>
      </c>
      <c r="E112">
        <v>0.62480500000000005</v>
      </c>
      <c r="F112">
        <v>4</v>
      </c>
      <c r="G112">
        <v>1.05</v>
      </c>
    </row>
    <row r="113" spans="1:7" x14ac:dyDescent="0.35">
      <c r="A113">
        <v>111</v>
      </c>
      <c r="B113">
        <v>0.68081199999999997</v>
      </c>
      <c r="C113">
        <v>0</v>
      </c>
      <c r="D113">
        <v>0.94</v>
      </c>
      <c r="E113">
        <v>0.66229400000000005</v>
      </c>
      <c r="F113">
        <v>2</v>
      </c>
      <c r="G113">
        <v>0.97</v>
      </c>
    </row>
    <row r="114" spans="1:7" x14ac:dyDescent="0.35">
      <c r="A114">
        <v>112</v>
      </c>
      <c r="B114">
        <v>0.71485200000000004</v>
      </c>
      <c r="C114">
        <v>0</v>
      </c>
      <c r="D114">
        <v>0.87</v>
      </c>
      <c r="E114">
        <v>0.70203099999999996</v>
      </c>
      <c r="F114">
        <v>1</v>
      </c>
      <c r="G114">
        <v>0.89</v>
      </c>
    </row>
    <row r="115" spans="1:7" x14ac:dyDescent="0.35">
      <c r="A115">
        <v>113</v>
      </c>
      <c r="B115">
        <v>0.75059500000000001</v>
      </c>
      <c r="C115">
        <v>0</v>
      </c>
      <c r="D115">
        <v>0.81</v>
      </c>
      <c r="E115">
        <v>0.74415299999999995</v>
      </c>
      <c r="F115">
        <v>0</v>
      </c>
      <c r="G115">
        <v>0.82</v>
      </c>
    </row>
    <row r="116" spans="1:7" x14ac:dyDescent="0.35">
      <c r="A116">
        <v>114</v>
      </c>
      <c r="B116">
        <v>0.78812499999999996</v>
      </c>
      <c r="C116">
        <v>0</v>
      </c>
      <c r="D116">
        <v>0.75</v>
      </c>
      <c r="E116">
        <v>0.78812499999999996</v>
      </c>
      <c r="F116">
        <v>0</v>
      </c>
      <c r="G116">
        <v>0.75</v>
      </c>
    </row>
    <row r="117" spans="1:7" x14ac:dyDescent="0.35">
      <c r="A117">
        <v>115</v>
      </c>
      <c r="B117">
        <v>0.82753100000000002</v>
      </c>
      <c r="C117">
        <v>0</v>
      </c>
      <c r="D117">
        <v>0.7</v>
      </c>
      <c r="E117">
        <v>0.82753100000000002</v>
      </c>
      <c r="F117">
        <v>0</v>
      </c>
      <c r="G117">
        <v>0.7</v>
      </c>
    </row>
    <row r="118" spans="1:7" x14ac:dyDescent="0.35">
      <c r="A118">
        <v>116</v>
      </c>
      <c r="B118">
        <v>0.86890699999999998</v>
      </c>
      <c r="C118">
        <v>0</v>
      </c>
      <c r="D118">
        <v>0.64</v>
      </c>
      <c r="E118">
        <v>0.86890699999999998</v>
      </c>
      <c r="F118">
        <v>0</v>
      </c>
      <c r="G118">
        <v>0.64</v>
      </c>
    </row>
    <row r="119" spans="1:7" x14ac:dyDescent="0.35">
      <c r="A119">
        <v>117</v>
      </c>
      <c r="B119">
        <v>0.91235299999999997</v>
      </c>
      <c r="C119">
        <v>0</v>
      </c>
      <c r="D119">
        <v>0.59</v>
      </c>
      <c r="E119">
        <v>0.91235299999999997</v>
      </c>
      <c r="F119">
        <v>0</v>
      </c>
      <c r="G119">
        <v>0.59</v>
      </c>
    </row>
    <row r="120" spans="1:7" x14ac:dyDescent="0.35">
      <c r="A120">
        <v>118</v>
      </c>
      <c r="B120">
        <v>0.95796999999999999</v>
      </c>
      <c r="C120">
        <v>0</v>
      </c>
      <c r="D120">
        <v>0.54</v>
      </c>
      <c r="E120">
        <v>0.95796999999999999</v>
      </c>
      <c r="F120">
        <v>0</v>
      </c>
      <c r="G120">
        <v>0.54</v>
      </c>
    </row>
    <row r="121" spans="1:7" x14ac:dyDescent="0.35">
      <c r="A121">
        <v>119</v>
      </c>
      <c r="B121">
        <v>1</v>
      </c>
      <c r="C121">
        <v>0</v>
      </c>
      <c r="D121">
        <v>0.5</v>
      </c>
      <c r="E121">
        <v>1</v>
      </c>
      <c r="F121">
        <v>0</v>
      </c>
      <c r="G12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6CC1-268F-4B50-A79D-A109EDFD774D}">
  <dimension ref="A1:G22"/>
  <sheetViews>
    <sheetView workbookViewId="0">
      <selection activeCell="E1" activeCellId="1" sqref="B1:B1048576 E1:E1048576"/>
    </sheetView>
  </sheetViews>
  <sheetFormatPr defaultRowHeight="14.5" x14ac:dyDescent="0.35"/>
  <cols>
    <col min="7" max="7" width="11.81640625" bestFit="1" customWidth="1"/>
  </cols>
  <sheetData>
    <row r="1" spans="1:7" x14ac:dyDescent="0.35">
      <c r="A1" s="1" t="s">
        <v>14</v>
      </c>
      <c r="B1" s="1" t="s">
        <v>7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5">
      <c r="A2">
        <v>0</v>
      </c>
      <c r="B2">
        <f t="shared" ref="B2:B22" si="0">IssueAge+A2</f>
        <v>40</v>
      </c>
      <c r="C2">
        <f>_xlfn.XLOOKUP(B2,'Mortality Table'!A:A,'Mortality Table'!B:B)</f>
        <v>3.3530000000000001E-3</v>
      </c>
      <c r="D2">
        <f>Policies</f>
        <v>1000</v>
      </c>
      <c r="E2">
        <f>D2*C2</f>
        <v>3.3530000000000002</v>
      </c>
      <c r="F2">
        <f t="shared" ref="F2:F22" si="1">E2*DeathBenefit</f>
        <v>335300</v>
      </c>
      <c r="G2">
        <f t="shared" ref="G2:G22" si="2">F2/(1+InterestRate)^A2</f>
        <v>335300</v>
      </c>
    </row>
    <row r="3" spans="1:7" x14ac:dyDescent="0.35">
      <c r="A3">
        <v>1</v>
      </c>
      <c r="B3">
        <f t="shared" si="0"/>
        <v>41</v>
      </c>
      <c r="C3">
        <f>_xlfn.XLOOKUP(B3,'Mortality Table'!A:A,'Mortality Table'!B:B)</f>
        <v>3.4989999999999999E-3</v>
      </c>
      <c r="D3">
        <f>D2*(1-C2)</f>
        <v>996.64699999999993</v>
      </c>
      <c r="E3">
        <f t="shared" ref="E3:E22" si="3">D3*C3</f>
        <v>3.4872678529999996</v>
      </c>
      <c r="F3">
        <f t="shared" si="1"/>
        <v>348726.78529999999</v>
      </c>
      <c r="G3">
        <f t="shared" si="2"/>
        <v>338569.6944660194</v>
      </c>
    </row>
    <row r="4" spans="1:7" x14ac:dyDescent="0.35">
      <c r="A4">
        <v>2</v>
      </c>
      <c r="B4">
        <f t="shared" si="0"/>
        <v>42</v>
      </c>
      <c r="C4">
        <f>_xlfn.XLOOKUP(B4,'Mortality Table'!A:A,'Mortality Table'!B:B)</f>
        <v>3.6419999999999998E-3</v>
      </c>
      <c r="D4">
        <f t="shared" ref="D4:D22" si="4">D3*(1-C3)</f>
        <v>993.15973214699989</v>
      </c>
      <c r="E4">
        <f t="shared" si="3"/>
        <v>3.6170877444793734</v>
      </c>
      <c r="F4">
        <f t="shared" si="1"/>
        <v>361708.77444793732</v>
      </c>
      <c r="G4">
        <f t="shared" si="2"/>
        <v>340945.21109240962</v>
      </c>
    </row>
    <row r="5" spans="1:7" x14ac:dyDescent="0.35">
      <c r="A5">
        <v>3</v>
      </c>
      <c r="B5">
        <f t="shared" si="0"/>
        <v>43</v>
      </c>
      <c r="C5">
        <f>_xlfn.XLOOKUP(B5,'Mortality Table'!A:A,'Mortality Table'!B:B)</f>
        <v>3.8110000000000002E-3</v>
      </c>
      <c r="D5">
        <f t="shared" si="4"/>
        <v>989.54264440252052</v>
      </c>
      <c r="E5">
        <f t="shared" si="3"/>
        <v>3.7711470178180058</v>
      </c>
      <c r="F5">
        <f t="shared" si="1"/>
        <v>377114.7017818006</v>
      </c>
      <c r="G5">
        <f t="shared" si="2"/>
        <v>345113.37395506894</v>
      </c>
    </row>
    <row r="6" spans="1:7" x14ac:dyDescent="0.35">
      <c r="A6">
        <v>4</v>
      </c>
      <c r="B6">
        <f t="shared" si="0"/>
        <v>44</v>
      </c>
      <c r="C6">
        <f>_xlfn.XLOOKUP(B6,'Mortality Table'!A:A,'Mortality Table'!B:B)</f>
        <v>3.9960000000000004E-3</v>
      </c>
      <c r="D6">
        <f t="shared" si="4"/>
        <v>985.77149738470246</v>
      </c>
      <c r="E6">
        <f t="shared" si="3"/>
        <v>3.9391429035492713</v>
      </c>
      <c r="F6">
        <f t="shared" si="1"/>
        <v>393914.29035492713</v>
      </c>
      <c r="G6">
        <f t="shared" si="2"/>
        <v>349987.74496925273</v>
      </c>
    </row>
    <row r="7" spans="1:7" x14ac:dyDescent="0.35">
      <c r="A7">
        <v>5</v>
      </c>
      <c r="B7">
        <f t="shared" si="0"/>
        <v>45</v>
      </c>
      <c r="C7">
        <f>_xlfn.XLOOKUP(B7,'Mortality Table'!A:A,'Mortality Table'!B:B)</f>
        <v>4.1749999999999999E-3</v>
      </c>
      <c r="D7">
        <f t="shared" si="4"/>
        <v>981.83235448115317</v>
      </c>
      <c r="E7">
        <f t="shared" si="3"/>
        <v>4.0991500799588145</v>
      </c>
      <c r="F7">
        <f t="shared" si="1"/>
        <v>409915.00799588143</v>
      </c>
      <c r="G7">
        <f t="shared" si="2"/>
        <v>353596.28674815217</v>
      </c>
    </row>
    <row r="8" spans="1:7" x14ac:dyDescent="0.35">
      <c r="A8">
        <v>6</v>
      </c>
      <c r="B8">
        <f t="shared" si="0"/>
        <v>46</v>
      </c>
      <c r="C8">
        <f>_xlfn.XLOOKUP(B8,'Mortality Table'!A:A,'Mortality Table'!B:B)</f>
        <v>4.3880000000000004E-3</v>
      </c>
      <c r="D8">
        <f t="shared" si="4"/>
        <v>977.73320440119437</v>
      </c>
      <c r="E8">
        <f t="shared" si="3"/>
        <v>4.2902933009124409</v>
      </c>
      <c r="F8">
        <f t="shared" si="1"/>
        <v>429029.33009124408</v>
      </c>
      <c r="G8">
        <f t="shared" si="2"/>
        <v>359305.30960695178</v>
      </c>
    </row>
    <row r="9" spans="1:7" x14ac:dyDescent="0.35">
      <c r="A9">
        <v>7</v>
      </c>
      <c r="B9">
        <f t="shared" si="0"/>
        <v>47</v>
      </c>
      <c r="C9">
        <f>_xlfn.XLOOKUP(B9,'Mortality Table'!A:A,'Mortality Table'!B:B)</f>
        <v>4.666E-3</v>
      </c>
      <c r="D9">
        <f t="shared" si="4"/>
        <v>973.442911100282</v>
      </c>
      <c r="E9">
        <f t="shared" si="3"/>
        <v>4.542084623193916</v>
      </c>
      <c r="F9">
        <f t="shared" si="1"/>
        <v>454208.4623193916</v>
      </c>
      <c r="G9">
        <f t="shared" si="2"/>
        <v>369313.04509221489</v>
      </c>
    </row>
    <row r="10" spans="1:7" x14ac:dyDescent="0.35">
      <c r="A10">
        <v>8</v>
      </c>
      <c r="B10">
        <f t="shared" si="0"/>
        <v>48</v>
      </c>
      <c r="C10">
        <f>_xlfn.XLOOKUP(B10,'Mortality Table'!A:A,'Mortality Table'!B:B)</f>
        <v>4.973E-3</v>
      </c>
      <c r="D10">
        <f t="shared" si="4"/>
        <v>968.90082647708812</v>
      </c>
      <c r="E10">
        <f t="shared" si="3"/>
        <v>4.8183438100705596</v>
      </c>
      <c r="F10">
        <f t="shared" si="1"/>
        <v>481834.38100705598</v>
      </c>
      <c r="G10">
        <f t="shared" si="2"/>
        <v>380364.50977690925</v>
      </c>
    </row>
    <row r="11" spans="1:7" x14ac:dyDescent="0.35">
      <c r="A11">
        <v>9</v>
      </c>
      <c r="B11">
        <f t="shared" si="0"/>
        <v>49</v>
      </c>
      <c r="C11">
        <f>_xlfn.XLOOKUP(B11,'Mortality Table'!A:A,'Mortality Table'!B:B)</f>
        <v>5.3049999999999998E-3</v>
      </c>
      <c r="D11">
        <f t="shared" si="4"/>
        <v>964.08248266701753</v>
      </c>
      <c r="E11">
        <f t="shared" si="3"/>
        <v>5.1144575705485282</v>
      </c>
      <c r="F11">
        <f t="shared" si="1"/>
        <v>511445.75705485285</v>
      </c>
      <c r="G11">
        <f t="shared" si="2"/>
        <v>391980.58589299279</v>
      </c>
    </row>
    <row r="12" spans="1:7" x14ac:dyDescent="0.35">
      <c r="A12">
        <v>10</v>
      </c>
      <c r="B12">
        <f t="shared" si="0"/>
        <v>50</v>
      </c>
      <c r="C12">
        <f>_xlfn.XLOOKUP(B12,'Mortality Table'!A:A,'Mortality Table'!B:B)</f>
        <v>5.666E-3</v>
      </c>
      <c r="D12">
        <f t="shared" si="4"/>
        <v>958.96802509646898</v>
      </c>
      <c r="E12">
        <f t="shared" si="3"/>
        <v>5.4335128301965936</v>
      </c>
      <c r="F12">
        <f t="shared" si="1"/>
        <v>543351.28301965934</v>
      </c>
      <c r="G12">
        <f t="shared" si="2"/>
        <v>404304.38334625686</v>
      </c>
    </row>
    <row r="13" spans="1:7" x14ac:dyDescent="0.35">
      <c r="A13">
        <v>11</v>
      </c>
      <c r="B13">
        <f t="shared" si="0"/>
        <v>51</v>
      </c>
      <c r="C13">
        <f>_xlfn.XLOOKUP(B13,'Mortality Table'!A:A,'Mortality Table'!B:B)</f>
        <v>6.0689999999999997E-3</v>
      </c>
      <c r="D13">
        <f t="shared" si="4"/>
        <v>953.53451226627249</v>
      </c>
      <c r="E13">
        <f t="shared" si="3"/>
        <v>5.7870009549440073</v>
      </c>
      <c r="F13">
        <f t="shared" si="1"/>
        <v>578700.09549440071</v>
      </c>
      <c r="G13">
        <f t="shared" si="2"/>
        <v>418065.26175489061</v>
      </c>
    </row>
    <row r="14" spans="1:7" x14ac:dyDescent="0.35">
      <c r="A14">
        <v>12</v>
      </c>
      <c r="B14">
        <f t="shared" si="0"/>
        <v>52</v>
      </c>
      <c r="C14">
        <f>_xlfn.XLOOKUP(B14,'Mortality Table'!A:A,'Mortality Table'!B:B)</f>
        <v>6.5389999999999997E-3</v>
      </c>
      <c r="D14">
        <f t="shared" si="4"/>
        <v>947.74751131132848</v>
      </c>
      <c r="E14">
        <f t="shared" si="3"/>
        <v>6.197320976464777</v>
      </c>
      <c r="F14">
        <f t="shared" si="1"/>
        <v>619732.09764647775</v>
      </c>
      <c r="G14">
        <f t="shared" si="2"/>
        <v>434667.62439902656</v>
      </c>
    </row>
    <row r="15" spans="1:7" x14ac:dyDescent="0.35">
      <c r="A15">
        <v>13</v>
      </c>
      <c r="B15">
        <f t="shared" si="0"/>
        <v>53</v>
      </c>
      <c r="C15">
        <f>_xlfn.XLOOKUP(B15,'Mortality Table'!A:A,'Mortality Table'!B:B)</f>
        <v>7.0730000000000003E-3</v>
      </c>
      <c r="D15">
        <f t="shared" si="4"/>
        <v>941.55019033486371</v>
      </c>
      <c r="E15">
        <f t="shared" si="3"/>
        <v>6.6595844962384909</v>
      </c>
      <c r="F15">
        <f t="shared" si="1"/>
        <v>665958.44962384913</v>
      </c>
      <c r="G15">
        <f t="shared" si="2"/>
        <v>453485.29865113931</v>
      </c>
    </row>
    <row r="16" spans="1:7" x14ac:dyDescent="0.35">
      <c r="A16">
        <v>14</v>
      </c>
      <c r="B16">
        <f t="shared" si="0"/>
        <v>54</v>
      </c>
      <c r="C16">
        <f>_xlfn.XLOOKUP(B16,'Mortality Table'!A:A,'Mortality Table'!B:B)</f>
        <v>7.6750000000000004E-3</v>
      </c>
      <c r="D16">
        <f t="shared" si="4"/>
        <v>934.89060583862522</v>
      </c>
      <c r="E16">
        <f t="shared" si="3"/>
        <v>7.1752853998114485</v>
      </c>
      <c r="F16">
        <f t="shared" si="1"/>
        <v>717528.53998114483</v>
      </c>
      <c r="G16">
        <f t="shared" si="2"/>
        <v>474370.89396457188</v>
      </c>
    </row>
    <row r="17" spans="1:7" x14ac:dyDescent="0.35">
      <c r="A17">
        <v>15</v>
      </c>
      <c r="B17">
        <f t="shared" si="0"/>
        <v>55</v>
      </c>
      <c r="C17">
        <f>_xlfn.XLOOKUP(B17,'Mortality Table'!A:A,'Mortality Table'!B:B)</f>
        <v>8.3479999999999995E-3</v>
      </c>
      <c r="D17">
        <f t="shared" si="4"/>
        <v>927.71532043881382</v>
      </c>
      <c r="E17">
        <f t="shared" si="3"/>
        <v>7.7445674950232171</v>
      </c>
      <c r="F17">
        <f t="shared" si="1"/>
        <v>774456.74950232171</v>
      </c>
      <c r="G17">
        <f t="shared" si="2"/>
        <v>497094.31741009216</v>
      </c>
    </row>
    <row r="18" spans="1:7" x14ac:dyDescent="0.35">
      <c r="A18">
        <v>16</v>
      </c>
      <c r="B18">
        <f t="shared" si="0"/>
        <v>56</v>
      </c>
      <c r="C18">
        <f>_xlfn.XLOOKUP(B18,'Mortality Table'!A:A,'Mortality Table'!B:B)</f>
        <v>9.051E-3</v>
      </c>
      <c r="D18">
        <f t="shared" si="4"/>
        <v>919.97075294379056</v>
      </c>
      <c r="E18">
        <f t="shared" si="3"/>
        <v>8.3266552848942492</v>
      </c>
      <c r="F18">
        <f t="shared" si="1"/>
        <v>832665.52848942496</v>
      </c>
      <c r="G18">
        <f t="shared" si="2"/>
        <v>518889.62878285389</v>
      </c>
    </row>
    <row r="19" spans="1:7" x14ac:dyDescent="0.35">
      <c r="A19">
        <v>17</v>
      </c>
      <c r="B19">
        <f t="shared" si="0"/>
        <v>57</v>
      </c>
      <c r="C19">
        <f>_xlfn.XLOOKUP(B19,'Mortality Table'!A:A,'Mortality Table'!B:B)</f>
        <v>9.8219999999999991E-3</v>
      </c>
      <c r="D19">
        <f t="shared" si="4"/>
        <v>911.64409765889627</v>
      </c>
      <c r="E19">
        <f t="shared" si="3"/>
        <v>8.9541683272056787</v>
      </c>
      <c r="F19">
        <f t="shared" si="1"/>
        <v>895416.83272056782</v>
      </c>
      <c r="G19">
        <f t="shared" si="2"/>
        <v>541741.90968218003</v>
      </c>
    </row>
    <row r="20" spans="1:7" x14ac:dyDescent="0.35">
      <c r="A20">
        <v>18</v>
      </c>
      <c r="B20">
        <f t="shared" si="0"/>
        <v>58</v>
      </c>
      <c r="C20">
        <f>_xlfn.XLOOKUP(B20,'Mortality Table'!A:A,'Mortality Table'!B:B)</f>
        <v>1.0669E-2</v>
      </c>
      <c r="D20">
        <f t="shared" si="4"/>
        <v>902.68992933169056</v>
      </c>
      <c r="E20">
        <f t="shared" si="3"/>
        <v>9.6307988560398066</v>
      </c>
      <c r="F20">
        <f t="shared" si="1"/>
        <v>963079.88560398063</v>
      </c>
      <c r="G20">
        <f t="shared" si="2"/>
        <v>565707.93150748464</v>
      </c>
    </row>
    <row r="21" spans="1:7" x14ac:dyDescent="0.35">
      <c r="A21">
        <v>19</v>
      </c>
      <c r="B21">
        <f t="shared" si="0"/>
        <v>59</v>
      </c>
      <c r="C21">
        <f>_xlfn.XLOOKUP(B21,'Mortality Table'!A:A,'Mortality Table'!B:B)</f>
        <v>1.1547999999999999E-2</v>
      </c>
      <c r="D21">
        <f t="shared" si="4"/>
        <v>893.0591304756507</v>
      </c>
      <c r="E21">
        <f t="shared" si="3"/>
        <v>10.313046838732813</v>
      </c>
      <c r="F21">
        <f t="shared" si="1"/>
        <v>1031304.6838732813</v>
      </c>
      <c r="G21">
        <f t="shared" si="2"/>
        <v>588138.65059862193</v>
      </c>
    </row>
    <row r="22" spans="1:7" x14ac:dyDescent="0.35">
      <c r="A22">
        <v>20</v>
      </c>
      <c r="B22">
        <f t="shared" si="0"/>
        <v>60</v>
      </c>
      <c r="C22">
        <f>_xlfn.XLOOKUP(B22,'Mortality Table'!A:A,'Mortality Table'!B:B)</f>
        <v>1.2458E-2</v>
      </c>
      <c r="D22">
        <f t="shared" si="4"/>
        <v>882.74608363691789</v>
      </c>
      <c r="E22">
        <f t="shared" si="3"/>
        <v>10.997250709948723</v>
      </c>
      <c r="F22">
        <f t="shared" si="1"/>
        <v>1099725.0709948724</v>
      </c>
      <c r="G22">
        <f t="shared" si="2"/>
        <v>608891.10808070668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2633-32F9-4247-AD2D-EE1FACC29F33}">
  <dimension ref="A1:B5"/>
  <sheetViews>
    <sheetView workbookViewId="0">
      <selection activeCell="G14" sqref="G14"/>
    </sheetView>
  </sheetViews>
  <sheetFormatPr defaultRowHeight="14.5" x14ac:dyDescent="0.35"/>
  <cols>
    <col min="2" max="2" width="7.81640625" bestFit="1" customWidth="1"/>
  </cols>
  <sheetData>
    <row r="1" spans="1:2" ht="29" x14ac:dyDescent="0.35">
      <c r="A1" s="1" t="s">
        <v>5</v>
      </c>
      <c r="B1" s="1" t="s">
        <v>20</v>
      </c>
    </row>
    <row r="2" spans="1:2" x14ac:dyDescent="0.35">
      <c r="A2" s="3">
        <v>0.02</v>
      </c>
      <c r="B2" s="2">
        <v>8742321</v>
      </c>
    </row>
    <row r="3" spans="1:2" x14ac:dyDescent="0.35">
      <c r="A3" s="3">
        <v>0.03</v>
      </c>
      <c r="B3" s="2">
        <v>8460942</v>
      </c>
    </row>
    <row r="4" spans="1:2" x14ac:dyDescent="0.35">
      <c r="A4" s="3">
        <v>0.04</v>
      </c>
      <c r="B4" s="2">
        <v>8193114</v>
      </c>
    </row>
    <row r="5" spans="1:2" x14ac:dyDescent="0.35">
      <c r="A5" s="3">
        <v>0.05</v>
      </c>
      <c r="B5">
        <v>7938552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F8EA-FAAD-416A-90AF-D6A2F1D54037}">
  <dimension ref="A1:B5"/>
  <sheetViews>
    <sheetView tabSelected="1" workbookViewId="0">
      <selection activeCell="B4" sqref="B4"/>
    </sheetView>
  </sheetViews>
  <sheetFormatPr defaultRowHeight="14.5" x14ac:dyDescent="0.35"/>
  <cols>
    <col min="2" max="2" width="10.1796875" bestFit="1" customWidth="1"/>
  </cols>
  <sheetData>
    <row r="1" spans="1:2" x14ac:dyDescent="0.35">
      <c r="A1" s="1" t="s">
        <v>21</v>
      </c>
      <c r="B1" s="6" t="s">
        <v>22</v>
      </c>
    </row>
    <row r="2" spans="1:2" x14ac:dyDescent="0.35">
      <c r="A2" s="2" t="s">
        <v>3</v>
      </c>
      <c r="B2" s="7">
        <f>Policies</f>
        <v>1000</v>
      </c>
    </row>
    <row r="3" spans="1:2" x14ac:dyDescent="0.35">
      <c r="A3" s="2" t="s">
        <v>2</v>
      </c>
      <c r="B3" s="5">
        <f>IssueAge</f>
        <v>40</v>
      </c>
    </row>
    <row r="4" spans="1:2" ht="29" x14ac:dyDescent="0.35">
      <c r="A4" s="2" t="s">
        <v>4</v>
      </c>
      <c r="B4" s="8">
        <f>DeathBenefit</f>
        <v>100000</v>
      </c>
    </row>
    <row r="5" spans="1:2" ht="29" x14ac:dyDescent="0.35">
      <c r="A5" s="2" t="s">
        <v>23</v>
      </c>
      <c r="B5" s="8">
        <v>8460942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Assumptions</vt:lpstr>
      <vt:lpstr>Mortality Table</vt:lpstr>
      <vt:lpstr>Projection</vt:lpstr>
      <vt:lpstr>Sensitivity</vt:lpstr>
      <vt:lpstr>Dashboard</vt:lpstr>
      <vt:lpstr>DeathBenefit</vt:lpstr>
      <vt:lpstr>InterestRate</vt:lpstr>
      <vt:lpstr>IssueAge</vt:lpstr>
      <vt:lpstr>Policies</vt:lpstr>
      <vt:lpstr>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2026-06-03T16:32:15Z</dcterms:created>
  <dcterms:modified xsi:type="dcterms:W3CDTF">2026-06-03T17:48:01Z</dcterms:modified>
</cp:coreProperties>
</file>